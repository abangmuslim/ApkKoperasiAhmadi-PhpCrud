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LARAGON\www\2026\5APKKOPERASIAHMADI\TOOLS\"/>
    </mc:Choice>
  </mc:AlternateContent>
  <xr:revisionPtr revIDLastSave="0" documentId="13_ncr:1_{8984DEAB-49AD-4BB9-83AF-E8CFE60AC9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TA REVISI" sheetId="5" r:id="rId1"/>
    <sheet name="Kendali TB-DB" sheetId="3" r:id="rId2"/>
    <sheet name="Kendali APK" sheetId="4" r:id="rId3"/>
  </sheets>
  <externalReferences>
    <externalReference r:id="rId4"/>
  </externalReferences>
  <definedNames>
    <definedName name="KD_1">#REF!</definedName>
    <definedName name="KD_10">#REF!</definedName>
    <definedName name="KD_11">#REF!</definedName>
    <definedName name="KD_1100">#REF!</definedName>
    <definedName name="KD_12">#REF!</definedName>
    <definedName name="KD_13">#REF!</definedName>
    <definedName name="KD_14">#REF!</definedName>
    <definedName name="KD_15">#REF!</definedName>
    <definedName name="KD_2">#REF!</definedName>
    <definedName name="KD_20">#REF!</definedName>
    <definedName name="KD_3">#REF!</definedName>
    <definedName name="KD_4">#REF!</definedName>
    <definedName name="KD_5">#REF!</definedName>
    <definedName name="KD_6">#REF!</definedName>
    <definedName name="KD_7">#REF!</definedName>
    <definedName name="KD_8">#REF!</definedName>
    <definedName name="KD_9">#REF!</definedName>
    <definedName name="KD_91824">#REF!</definedName>
    <definedName name="list_1">#REF!</definedName>
    <definedName name="list_10">#REF!</definedName>
    <definedName name="list_11">#REF!</definedName>
    <definedName name="list_12">#REF!</definedName>
    <definedName name="list_13">#REF!</definedName>
    <definedName name="list_14">#REF!</definedName>
    <definedName name="list_15">#REF!</definedName>
    <definedName name="list_2">#REF!</definedName>
    <definedName name="list_3">#REF!</definedName>
    <definedName name="list_4">#REF!</definedName>
    <definedName name="list_5">#REF!</definedName>
    <definedName name="list_6">#REF!</definedName>
    <definedName name="list_7">#REF!</definedName>
    <definedName name="list_8">#REF!</definedName>
    <definedName name="list_9">#REF!</definedName>
    <definedName name="List_KD">'[1]RPP#1'!$R$2:$R$11</definedName>
    <definedName name="List_KD1">'[1]RPP#1'!$S$2:$S$6</definedName>
    <definedName name="List_KD10">'[1]RPP#1'!$AB$2:$AB$6</definedName>
    <definedName name="List_KD2">'[1]RPP#1'!$T$2:$T$6</definedName>
    <definedName name="List_KD3">'[1]RPP#1'!$U$2:$U$6</definedName>
    <definedName name="List_KD4">'[1]RPP#1'!$V$2:$V$6</definedName>
    <definedName name="List_KD5">'[1]RPP#1'!$W$2:$W$6</definedName>
    <definedName name="List_KD6">'[1]RPP#1'!$X$2:$X$6</definedName>
    <definedName name="List_KD7">'[1]RPP#1'!$Y$2:$Y$6</definedName>
    <definedName name="List_KD8">'[1]RPP#1'!$Z$2:$Z$6</definedName>
    <definedName name="List_KD9">'[1]RPP#1'!$AA$2:$AA$6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0" roundtripDataChecksum="Uz1+udwcX320WE04SM6VdbbkMboRt6Uqthh/Uxomx24="/>
    </ext>
  </extLst>
</workbook>
</file>

<file path=xl/calcChain.xml><?xml version="1.0" encoding="utf-8"?>
<calcChain xmlns="http://schemas.openxmlformats.org/spreadsheetml/2006/main">
  <c r="I113" i="5" l="1"/>
  <c r="K112" i="5"/>
  <c r="K111" i="5"/>
  <c r="L110" i="5"/>
  <c r="K110" i="5"/>
  <c r="K109" i="5"/>
  <c r="K108" i="5"/>
  <c r="K107" i="5"/>
  <c r="K106" i="5"/>
  <c r="L106" i="5" s="1"/>
  <c r="K103" i="5"/>
  <c r="K102" i="5"/>
  <c r="K101" i="5"/>
  <c r="K100" i="5"/>
  <c r="K99" i="5"/>
  <c r="K98" i="5"/>
  <c r="K97" i="5"/>
  <c r="K96" i="5"/>
  <c r="K95" i="5"/>
  <c r="K94" i="5"/>
  <c r="K93" i="5"/>
  <c r="K92" i="5"/>
  <c r="K91" i="5"/>
  <c r="K90" i="5"/>
  <c r="L75" i="5" s="1"/>
  <c r="L113" i="5" s="1"/>
  <c r="K89" i="5"/>
  <c r="K88" i="5"/>
  <c r="K87" i="5"/>
  <c r="K86" i="5"/>
  <c r="K85" i="5"/>
  <c r="K84" i="5"/>
  <c r="K83" i="5"/>
  <c r="K82" i="5"/>
  <c r="K81" i="5"/>
  <c r="K80" i="5"/>
  <c r="K79" i="5"/>
  <c r="K78" i="5"/>
  <c r="K77" i="5"/>
  <c r="K76" i="5"/>
  <c r="K75" i="5"/>
  <c r="K113" i="5" s="1"/>
  <c r="I66" i="5"/>
  <c r="K65" i="5"/>
  <c r="K64" i="5"/>
  <c r="K63" i="5"/>
  <c r="K62" i="5"/>
  <c r="L62" i="5" s="1"/>
  <c r="K61" i="5"/>
  <c r="K60" i="5"/>
  <c r="K59" i="5"/>
  <c r="K58" i="5"/>
  <c r="K57" i="5"/>
  <c r="K56" i="5"/>
  <c r="K55" i="5"/>
  <c r="K54" i="5"/>
  <c r="K53" i="5"/>
  <c r="K52" i="5"/>
  <c r="K51" i="5"/>
  <c r="K50" i="5"/>
  <c r="K49" i="5"/>
  <c r="K48" i="5"/>
  <c r="K47" i="5"/>
  <c r="K46" i="5"/>
  <c r="L45" i="5" s="1"/>
  <c r="K45" i="5"/>
  <c r="K44" i="5"/>
  <c r="K43" i="5"/>
  <c r="K42" i="5"/>
  <c r="K41" i="5"/>
  <c r="K40" i="5"/>
  <c r="K39" i="5"/>
  <c r="K38" i="5"/>
  <c r="K37" i="5"/>
  <c r="K36" i="5"/>
  <c r="K35" i="5"/>
  <c r="K34" i="5"/>
  <c r="K33" i="5"/>
  <c r="K32" i="5"/>
  <c r="K31" i="5"/>
  <c r="L31" i="5" s="1"/>
  <c r="K30" i="5"/>
  <c r="K29" i="5"/>
  <c r="K28" i="5"/>
  <c r="K27" i="5"/>
  <c r="K26" i="5"/>
  <c r="K25" i="5"/>
  <c r="K24" i="5"/>
  <c r="K23" i="5"/>
  <c r="K22" i="5"/>
  <c r="L22" i="5" s="1"/>
  <c r="K21" i="5"/>
  <c r="K20" i="5"/>
  <c r="K19" i="5"/>
  <c r="L19" i="5" s="1"/>
  <c r="K18" i="5"/>
  <c r="K17" i="5"/>
  <c r="K16" i="5"/>
  <c r="K15" i="5"/>
  <c r="K14" i="5"/>
  <c r="K13" i="5"/>
  <c r="K12" i="5"/>
  <c r="K66" i="5" s="1"/>
  <c r="I27" i="4"/>
  <c r="I26" i="4"/>
  <c r="L12" i="5" l="1"/>
  <c r="L66" i="5" s="1"/>
  <c r="I28" i="4"/>
</calcChain>
</file>

<file path=xl/sharedStrings.xml><?xml version="1.0" encoding="utf-8"?>
<sst xmlns="http://schemas.openxmlformats.org/spreadsheetml/2006/main" count="602" uniqueCount="322">
  <si>
    <t>BREAKDOWN FITUR PADA APLIKASI</t>
  </si>
  <si>
    <t>BREAKDOWN TABEL PADA DATABASE</t>
  </si>
  <si>
    <t>Nama Pengembang</t>
  </si>
  <si>
    <t>No</t>
  </si>
  <si>
    <t>: Ahmadi Musslim</t>
  </si>
  <si>
    <t>Nama Aplikasi</t>
  </si>
  <si>
    <t>: Aplikasi Koperasi Berbasis Web</t>
  </si>
  <si>
    <t xml:space="preserve">Lokasi </t>
  </si>
  <si>
    <t>: SMKN 1 Karang Baru</t>
  </si>
  <si>
    <t>Mesin Databse</t>
  </si>
  <si>
    <t>: MySQL</t>
  </si>
  <si>
    <t>Bahasa Pemrograman</t>
  </si>
  <si>
    <t>: PHP Fundamental (CRUD)</t>
  </si>
  <si>
    <t>Tabel (Entitas)</t>
  </si>
  <si>
    <t>FITUR</t>
  </si>
  <si>
    <t>TABEL UTAMA</t>
  </si>
  <si>
    <t>Atribut (Field)</t>
  </si>
  <si>
    <t>TABEL TERKAIT</t>
  </si>
  <si>
    <t>KETERANGAN</t>
  </si>
  <si>
    <t>ADMIN</t>
  </si>
  <si>
    <t>PETUGAS</t>
  </si>
  <si>
    <t>User</t>
  </si>
  <si>
    <t>barang</t>
  </si>
  <si>
    <t>suplier</t>
  </si>
  <si>
    <t>merk</t>
  </si>
  <si>
    <t>user</t>
  </si>
  <si>
    <t>penjualan</t>
  </si>
  <si>
    <t>detilpenjualan</t>
  </si>
  <si>
    <t>Barang</t>
  </si>
  <si>
    <t>Kategori</t>
  </si>
  <si>
    <t>kategori</t>
  </si>
  <si>
    <t>semua tabel</t>
  </si>
  <si>
    <t>keterangan</t>
  </si>
  <si>
    <t>Laporan</t>
  </si>
  <si>
    <t>pelanggan</t>
  </si>
  <si>
    <t>username</t>
  </si>
  <si>
    <t>nohp</t>
  </si>
  <si>
    <t>password</t>
  </si>
  <si>
    <t>foto</t>
  </si>
  <si>
    <t>alamat</t>
  </si>
  <si>
    <t>namapelanggan</t>
  </si>
  <si>
    <t>namabarang</t>
  </si>
  <si>
    <t>stok</t>
  </si>
  <si>
    <t>harga</t>
  </si>
  <si>
    <t>idmerk</t>
  </si>
  <si>
    <t>namamerk</t>
  </si>
  <si>
    <t>iduser</t>
  </si>
  <si>
    <t>idpelanggan</t>
  </si>
  <si>
    <t>idsuplier</t>
  </si>
  <si>
    <t>idbarang</t>
  </si>
  <si>
    <t>idpenjualan</t>
  </si>
  <si>
    <t>iddetilpenjualan</t>
  </si>
  <si>
    <t>namauser</t>
  </si>
  <si>
    <t>namasuplier</t>
  </si>
  <si>
    <t>tanggalstok</t>
  </si>
  <si>
    <t>totalpenjualan</t>
  </si>
  <si>
    <t>tanggalpenjualan</t>
  </si>
  <si>
    <t>subtotal</t>
  </si>
  <si>
    <t>pk</t>
  </si>
  <si>
    <t>fk</t>
  </si>
  <si>
    <t>supplier</t>
  </si>
  <si>
    <t>Login Pelanggan</t>
  </si>
  <si>
    <t>Login User</t>
  </si>
  <si>
    <t>Register Pelanggan</t>
  </si>
  <si>
    <t>Dashboard (User)</t>
  </si>
  <si>
    <t>Dashboard (Pelanggan)</t>
  </si>
  <si>
    <t>ya</t>
  </si>
  <si>
    <t>idkategori</t>
  </si>
  <si>
    <t>namakategori</t>
  </si>
  <si>
    <t>USECASE (ROLE)</t>
  </si>
  <si>
    <t>TAMU</t>
  </si>
  <si>
    <t>PELANGGAN</t>
  </si>
  <si>
    <t>detilpenjualan, admin, penjualan, barang</t>
  </si>
  <si>
    <t>belum</t>
  </si>
  <si>
    <t>Homepage</t>
  </si>
  <si>
    <t>role (admin, petugas)</t>
  </si>
  <si>
    <t>merk, suplier, kategori</t>
  </si>
  <si>
    <t>Pelanggan</t>
  </si>
  <si>
    <t>Suplier</t>
  </si>
  <si>
    <t>Merk</t>
  </si>
  <si>
    <t>Penjualan</t>
  </si>
  <si>
    <t>Mesin Database</t>
  </si>
  <si>
    <t>: PHP CRUD</t>
  </si>
  <si>
    <t>PROGRAM TAHUNAN (PROTA)</t>
  </si>
  <si>
    <t>Penyusun</t>
  </si>
  <si>
    <t>: AHMADI MUSLIM, M.P</t>
  </si>
  <si>
    <t>Kelas</t>
  </si>
  <si>
    <t>: XI RPL2</t>
  </si>
  <si>
    <t>Mata Pelajaran</t>
  </si>
  <si>
    <t>: Rekayasa Perangkat Lunak (RPL)</t>
  </si>
  <si>
    <t>Tahun Pelajaran</t>
  </si>
  <si>
    <t>: 2026-2027</t>
  </si>
  <si>
    <t>Alokasi Waktu</t>
  </si>
  <si>
    <t>: 90 Pertemuan (54 Ganjil &amp; 36 Genap)</t>
  </si>
  <si>
    <t>Durasi</t>
  </si>
  <si>
    <t>: 9 Jp Per Pertemuan</t>
  </si>
  <si>
    <t>Elemen</t>
  </si>
  <si>
    <t>Materi Ajar</t>
  </si>
  <si>
    <t>Perte-muan Ke</t>
  </si>
  <si>
    <t>Hari</t>
  </si>
  <si>
    <t>Tanggal</t>
  </si>
  <si>
    <t>Bulan</t>
  </si>
  <si>
    <t>Pekan     Ke-</t>
  </si>
  <si>
    <t>Pertemuan</t>
  </si>
  <si>
    <t>JP</t>
  </si>
  <si>
    <t>Jumlah JP</t>
  </si>
  <si>
    <t>Total</t>
  </si>
  <si>
    <t>Semester Ganjil (54 Pertemuan @ 9 jp)</t>
  </si>
  <si>
    <t>RPL-01</t>
  </si>
  <si>
    <t>Basisdata-1</t>
  </si>
  <si>
    <t>Pengantar, Hirarki, dan DB Modelling (ERD &amp; ERT)</t>
  </si>
  <si>
    <t>Senin</t>
  </si>
  <si>
    <t>Juli</t>
  </si>
  <si>
    <t>Basisdata-2</t>
  </si>
  <si>
    <t>Modeling Basisdata Via Bottom Up</t>
  </si>
  <si>
    <t>Selasa</t>
  </si>
  <si>
    <t>Basisdata-3</t>
  </si>
  <si>
    <t>Modeling Basisdata Via Top Down</t>
  </si>
  <si>
    <t>Rabu</t>
  </si>
  <si>
    <t>Basisdata-4</t>
  </si>
  <si>
    <t>Normalisasi &amp; Tipe Data DB</t>
  </si>
  <si>
    <t>Kamis</t>
  </si>
  <si>
    <t>Basisdata-5</t>
  </si>
  <si>
    <t>Source SQL Dengan Desain Fisikal (DDL)</t>
  </si>
  <si>
    <t>Jumat</t>
  </si>
  <si>
    <t>Basisdata-6</t>
  </si>
  <si>
    <t>Source SQL Insert Record (DML)</t>
  </si>
  <si>
    <t>Sabtu</t>
  </si>
  <si>
    <t>Basisdata-7</t>
  </si>
  <si>
    <t>DBMS Construction Via PHPMyAdmin</t>
  </si>
  <si>
    <t>RPL-02</t>
  </si>
  <si>
    <t>Git &amp; Github-1</t>
  </si>
  <si>
    <t>Pengantar Git/GitHub dan Manajemen Folder Repository</t>
  </si>
  <si>
    <t>Agustus</t>
  </si>
  <si>
    <t>Git &amp; Github-2</t>
  </si>
  <si>
    <t>Repository GitHub via Terminal</t>
  </si>
  <si>
    <t>Git &amp; Github-3</t>
  </si>
  <si>
    <t>Repository GitHub via VS Code</t>
  </si>
  <si>
    <t>RPL-03</t>
  </si>
  <si>
    <t>PHP Fundament-1</t>
  </si>
  <si>
    <t>Sintaks &amp; Algoritma PHP</t>
  </si>
  <si>
    <t>PHP Fundament-2</t>
  </si>
  <si>
    <t>Variabel dan Tipe Data</t>
  </si>
  <si>
    <t>PHP Fundament-3</t>
  </si>
  <si>
    <t>Percabangan</t>
  </si>
  <si>
    <t>PHP Fundament-4</t>
  </si>
  <si>
    <t>Perulangan</t>
  </si>
  <si>
    <t>PHP Fundament-5</t>
  </si>
  <si>
    <t>Konsep Array</t>
  </si>
  <si>
    <t>PHP Fundament-6</t>
  </si>
  <si>
    <t>Function</t>
  </si>
  <si>
    <t>September</t>
  </si>
  <si>
    <t>PHP Fundament-7</t>
  </si>
  <si>
    <t>Form Processing</t>
  </si>
  <si>
    <t>PHP Fundament-8</t>
  </si>
  <si>
    <t>Form Validation</t>
  </si>
  <si>
    <t>PHP Fundament-9</t>
  </si>
  <si>
    <t>Mini Project (Form Biodata)</t>
  </si>
  <si>
    <t>RPL-04</t>
  </si>
  <si>
    <t>PHP CRUD-1</t>
  </si>
  <si>
    <t>Strukturisasi Folder, Templating, Koneksi DB</t>
  </si>
  <si>
    <t>PHP CRUD-2</t>
  </si>
  <si>
    <t>Fitur User, Login, Pelanggan, Loginpelanggan, Registrasi Pelanggan</t>
  </si>
  <si>
    <t>PHP CRUD-3</t>
  </si>
  <si>
    <t>Fitur Kategori, Merk, Suplier, Barang, Penjualan</t>
  </si>
  <si>
    <t>PHP CRUD-4</t>
  </si>
  <si>
    <t>Penjualan dan Laporan</t>
  </si>
  <si>
    <t>PHP CRUD-5</t>
  </si>
  <si>
    <t>Project CRUD (Project Individu) 1</t>
  </si>
  <si>
    <t>PHP CRUD-6</t>
  </si>
  <si>
    <t>Project CRUD (Project Individu) 2</t>
  </si>
  <si>
    <t>PHP CRUD-7</t>
  </si>
  <si>
    <t>Project CRUD (Project Individu) 3</t>
  </si>
  <si>
    <t>PHP CRUD-8</t>
  </si>
  <si>
    <t>Project CRUD (Project Individu) 4</t>
  </si>
  <si>
    <t>Oktober</t>
  </si>
  <si>
    <t>PHP CRUD-9</t>
  </si>
  <si>
    <t>Project CRUD (Project Individu) 5</t>
  </si>
  <si>
    <t>PHP CRUD-10</t>
  </si>
  <si>
    <t>Project CRUD (Project Individu) 6</t>
  </si>
  <si>
    <t>PHP CRUD-11</t>
  </si>
  <si>
    <t>Project CRUD (Project Individu) 7</t>
  </si>
  <si>
    <t>PHP CRUD-12</t>
  </si>
  <si>
    <t>Laporan Project Siswa</t>
  </si>
  <si>
    <t>PHP CRUD-13</t>
  </si>
  <si>
    <t>PHP CRUD-14</t>
  </si>
  <si>
    <t>Presentasi &amp; Review Project CRUD Individu</t>
  </si>
  <si>
    <t>RPL05</t>
  </si>
  <si>
    <t>PBO-1</t>
  </si>
  <si>
    <t>Pengantar (Dari Prosedural ke OOP)</t>
  </si>
  <si>
    <t>November</t>
  </si>
  <si>
    <t>PBO-2</t>
  </si>
  <si>
    <t>Class, Property, Method &amp; Object</t>
  </si>
  <si>
    <t>PBO-3</t>
  </si>
  <si>
    <t>Namespace &amp; Autoloading (PSR-4)</t>
  </si>
  <si>
    <t>PBO-4</t>
  </si>
  <si>
    <t>Access Modifier (public, private, protected)</t>
  </si>
  <si>
    <t>PBO-5</t>
  </si>
  <si>
    <t>Encapsulation (Getter &amp; Setter)</t>
  </si>
  <si>
    <t>PBO-6</t>
  </si>
  <si>
    <t>Interface &amp; Abstract Class</t>
  </si>
  <si>
    <t>PBO-7</t>
  </si>
  <si>
    <t>Inheritance &amp; Polymorphism</t>
  </si>
  <si>
    <t>PBO-8</t>
  </si>
  <si>
    <t>Constructor &amp; Destructor</t>
  </si>
  <si>
    <t>PBO-9</t>
  </si>
  <si>
    <t>Error Handling OOP (Exception &amp; Try-Catch)</t>
  </si>
  <si>
    <t>PBO-10</t>
  </si>
  <si>
    <t>Project OOP (Aplikasi OOP Individu) 1</t>
  </si>
  <si>
    <t>PBO-11</t>
  </si>
  <si>
    <t>Project OOP (Aplikasi OOP Individu) 2</t>
  </si>
  <si>
    <t>PBO-12</t>
  </si>
  <si>
    <t>Project OOP (Aplikasi OOP Individu) 3</t>
  </si>
  <si>
    <t>PBO-13</t>
  </si>
  <si>
    <t>Project OOP (Aplikasi OOP Individu) 4</t>
  </si>
  <si>
    <t>PBO-14</t>
  </si>
  <si>
    <t>Project OOP (Aplikasi OOP Individu) 5</t>
  </si>
  <si>
    <t>PBO-15</t>
  </si>
  <si>
    <t>Project OOP (Aplikasi OOP Individu) 6</t>
  </si>
  <si>
    <t>Desember</t>
  </si>
  <si>
    <t>PBO-16</t>
  </si>
  <si>
    <t>Project OOP (Aplikasi OOP Individu) 7</t>
  </si>
  <si>
    <t>PBO-17</t>
  </si>
  <si>
    <t>Project OOP (Aplikasi OOP Individu) 8</t>
  </si>
  <si>
    <t>Evaluasi Ganjil</t>
  </si>
  <si>
    <t>Evaluasi Ganjil-1</t>
  </si>
  <si>
    <t>Tes Lisan</t>
  </si>
  <si>
    <t>Evaluasi Ganjil-2</t>
  </si>
  <si>
    <t>Tes Tertulis</t>
  </si>
  <si>
    <t>Evaluasi Ganjil-3</t>
  </si>
  <si>
    <t>Presentasi Portofolio Project</t>
  </si>
  <si>
    <t>Evaluasi Ganjil-4</t>
  </si>
  <si>
    <t>Refleksi, Penguatan &amp; Penutupan Semester</t>
  </si>
  <si>
    <t>JUMLAH JAM</t>
  </si>
  <si>
    <t>Pertemuan Ke</t>
  </si>
  <si>
    <t>Semester Genap (36 Pertemuan @ 9 jp)</t>
  </si>
  <si>
    <t>RPL06</t>
  </si>
  <si>
    <t>FrameWork-1</t>
  </si>
  <si>
    <t>Konsep Dasar Framework + Konsep MVC</t>
  </si>
  <si>
    <t>Januari</t>
  </si>
  <si>
    <t>FrameWork-2</t>
  </si>
  <si>
    <r>
      <t xml:space="preserve">Composer, Instalasi Laravel &amp; Konfigurasi </t>
    </r>
    <r>
      <rPr>
        <sz val="10"/>
        <color rgb="FF000000"/>
        <rFont val="Arial Unicode MS"/>
        <family val="2"/>
      </rPr>
      <t>.env</t>
    </r>
  </si>
  <si>
    <t>FrameWork-3</t>
  </si>
  <si>
    <t>Struktur Folder, Route, Model, View, Controller</t>
  </si>
  <si>
    <t>FrameWork-4</t>
  </si>
  <si>
    <t>Merancang Struktur Folder dengan Tree Diagram</t>
  </si>
  <si>
    <t>FrameWork-5</t>
  </si>
  <si>
    <t>Blade Template &amp; Layouting</t>
  </si>
  <si>
    <t>FrameWork-6</t>
  </si>
  <si>
    <t>Penggunaan Template Admin</t>
  </si>
  <si>
    <t>FrameWork-7</t>
  </si>
  <si>
    <t>Routing</t>
  </si>
  <si>
    <t>FrameWork-8</t>
  </si>
  <si>
    <t>Database Design &amp; Migration</t>
  </si>
  <si>
    <t>Maret</t>
  </si>
  <si>
    <t>FrameWork-9</t>
  </si>
  <si>
    <t>Seeder &amp; Factory</t>
  </si>
  <si>
    <t>FrameWork-10</t>
  </si>
  <si>
    <t>Default Route Landing &amp; Home</t>
  </si>
  <si>
    <t>FrameWork-11</t>
  </si>
  <si>
    <t>CRUD MVC-1</t>
  </si>
  <si>
    <t>FrameWork-12</t>
  </si>
  <si>
    <t>Authentication Configuration</t>
  </si>
  <si>
    <t>FrameWork-13</t>
  </si>
  <si>
    <t>Dashboard User (Admin &amp; Petugas)</t>
  </si>
  <si>
    <t>FrameWork-14</t>
  </si>
  <si>
    <t>Dashboard Member &amp; Seluruh Fitur</t>
  </si>
  <si>
    <t>FrameWork-15</t>
  </si>
  <si>
    <t>Library &amp; Package Laravel</t>
  </si>
  <si>
    <t>April</t>
  </si>
  <si>
    <t>FrameWork-16</t>
  </si>
  <si>
    <t>Project Laravel Mandiri 1</t>
  </si>
  <si>
    <t>FrameWork-17</t>
  </si>
  <si>
    <t>Project Laravel Mandiri 2</t>
  </si>
  <si>
    <t>FrameWork-18</t>
  </si>
  <si>
    <t>Project Laravel Mandiri 3</t>
  </si>
  <si>
    <t>FrameWork-19</t>
  </si>
  <si>
    <t>Project Laravel Mandiri 4</t>
  </si>
  <si>
    <t>FrameWork-20</t>
  </si>
  <si>
    <t>Project Laravel Mandiri 5</t>
  </si>
  <si>
    <t>FrameWork-21</t>
  </si>
  <si>
    <t>Project Laravel Mandiri 6</t>
  </si>
  <si>
    <t>FrameWork-22</t>
  </si>
  <si>
    <t>Project Laravel Mandiri 7</t>
  </si>
  <si>
    <t>FrameWork-23</t>
  </si>
  <si>
    <t>Project Laravel Mandiri 8</t>
  </si>
  <si>
    <t>FrameWork-24</t>
  </si>
  <si>
    <t>Project Laravel Mandiri 9</t>
  </si>
  <si>
    <t>FrameWork-25</t>
  </si>
  <si>
    <t>Project Laravel Mandiri 10</t>
  </si>
  <si>
    <t>FrameWork-26</t>
  </si>
  <si>
    <t>Project Laravel Mandiri 11</t>
  </si>
  <si>
    <t>Mei</t>
  </si>
  <si>
    <t>FrameWork-27</t>
  </si>
  <si>
    <t>Project Laravel Mandiri 12</t>
  </si>
  <si>
    <t>FrameWork-28</t>
  </si>
  <si>
    <t>Project Laravel Mandiri 13</t>
  </si>
  <si>
    <t>FrameWork-29</t>
  </si>
  <si>
    <t>Project Laravel Mandiri 14</t>
  </si>
  <si>
    <t>Evaluasi Genap</t>
  </si>
  <si>
    <t>Evaluasi Genap-1</t>
  </si>
  <si>
    <t>Evaluasi Genap-2</t>
  </si>
  <si>
    <t>Evaluasi Genap-3</t>
  </si>
  <si>
    <t>Portofolio Project Laravel</t>
  </si>
  <si>
    <t>Evaluasi Genap-4</t>
  </si>
  <si>
    <t>Presentasi Project &amp; Refleksi</t>
  </si>
  <si>
    <t>UKK</t>
  </si>
  <si>
    <t>UKK Kelas XI-1</t>
  </si>
  <si>
    <t>Persiapan &amp; Briefing UKK</t>
  </si>
  <si>
    <t>Juni</t>
  </si>
  <si>
    <t>UKK Kelas XI-2</t>
  </si>
  <si>
    <t>Pelaksanaan UKK</t>
  </si>
  <si>
    <t>UKK Kelas XI-3</t>
  </si>
  <si>
    <t>Presentasi, Verifikasi &amp; Penilaian UKK</t>
  </si>
  <si>
    <t>Mengetahui,</t>
  </si>
  <si>
    <t>Karang Baru, 17 Juli 2026</t>
  </si>
  <si>
    <t>Kepala Sekolah</t>
  </si>
  <si>
    <t>Guru Mata Pelajaran</t>
  </si>
  <si>
    <t>Fahmi Putra, S.Pd</t>
  </si>
  <si>
    <t>Ahmadi Muslim, M.P</t>
  </si>
  <si>
    <t>NIP. 19791108 200904 1 001</t>
  </si>
  <si>
    <t>NIP. 19860505 201403 1 003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</si>
</sst>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1"/>
      <name val="Calibri"/>
      <family val="2"/>
    </font>
    <font>
      <sz val="12"/>
      <color theme="1"/>
      <name val="Calibri"/>
      <family val="2"/>
    </font>
    <font>
      <b/>
      <sz val="13"/>
      <color theme="1"/>
      <name val="Calibri"/>
      <family val="2"/>
    </font>
    <font>
      <b/>
      <sz val="13"/>
      <color rgb="FFFF0000"/>
      <name val="Calibri"/>
      <family val="2"/>
    </font>
    <font>
      <sz val="12"/>
      <color theme="1"/>
      <name val="Calibri"/>
      <family val="2"/>
    </font>
    <font>
      <sz val="12"/>
      <color rgb="FFFF0000"/>
      <name val="Calibri"/>
      <family val="2"/>
    </font>
    <font>
      <sz val="12"/>
      <color rgb="FF00B0F0"/>
      <name val="Calibri"/>
      <family val="2"/>
    </font>
    <font>
      <sz val="11"/>
      <color theme="1"/>
      <name val="Calibri"/>
      <family val="2"/>
    </font>
    <font>
      <sz val="10"/>
      <color rgb="FF000000"/>
      <name val="Calibri"/>
      <family val="2"/>
      <scheme val="minor"/>
    </font>
    <font>
      <b/>
      <sz val="14"/>
      <color theme="1"/>
      <name val="&quot;Times New Roman&quot;"/>
    </font>
    <font>
      <sz val="14"/>
      <color theme="1"/>
      <name val="&quot;Times New Roman&quot;"/>
    </font>
    <font>
      <sz val="10"/>
      <color theme="1"/>
      <name val="&quot;Times New Roman&quot;"/>
    </font>
    <font>
      <sz val="11"/>
      <color rgb="FF000000"/>
      <name val="&quot;Times New Roman&quot;"/>
    </font>
    <font>
      <b/>
      <sz val="11"/>
      <color rgb="FF000000"/>
      <name val="&quot;Times New Roman&quot;"/>
    </font>
    <font>
      <b/>
      <sz val="11"/>
      <color theme="1"/>
      <name val="&quot;Times New Roman&quot;"/>
    </font>
    <font>
      <sz val="11"/>
      <color rgb="FF000000"/>
      <name val="Tahoma"/>
      <family val="2"/>
    </font>
    <font>
      <b/>
      <sz val="8"/>
      <color theme="1"/>
      <name val="&quot;Times New Roman&quot;"/>
    </font>
    <font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0"/>
      <color theme="1"/>
      <name val="&quot;Times New Roman&quot;"/>
    </font>
    <font>
      <sz val="10"/>
      <color theme="1"/>
      <name val="Arial"/>
      <family val="2"/>
    </font>
    <font>
      <sz val="11"/>
      <name val="Arial"/>
      <family val="2"/>
    </font>
    <font>
      <sz val="10"/>
      <color theme="9" tint="-0.499984740745262"/>
      <name val="&quot;Times New Roman&quot;"/>
    </font>
    <font>
      <b/>
      <sz val="10"/>
      <color theme="9" tint="-0.499984740745262"/>
      <name val="&quot;Times New Roman&quot;"/>
    </font>
    <font>
      <sz val="10"/>
      <color rgb="FF000000"/>
      <name val="Arial Unicode MS"/>
      <family val="2"/>
    </font>
    <font>
      <sz val="9"/>
      <name val="Arial"/>
      <family val="2"/>
    </font>
    <font>
      <sz val="11"/>
      <color theme="1"/>
      <name val="&quot;Times New Roman&quot;"/>
    </font>
    <font>
      <sz val="11"/>
      <color rgb="FF000000"/>
      <name val="Calibri"/>
      <family val="2"/>
    </font>
    <font>
      <b/>
      <u/>
      <sz val="11"/>
      <color rgb="FF000000"/>
      <name val="&quot;Times New Roman&quot;"/>
    </font>
    <font>
      <b/>
      <u/>
      <sz val="11"/>
      <color theme="1"/>
      <name val="&quot;Times New Roman&quot;"/>
    </font>
    <font>
      <b/>
      <sz val="10"/>
      <color rgb="FF000000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BF9000"/>
        <bgColor rgb="FFBF9000"/>
      </patternFill>
    </fill>
    <fill>
      <patternFill patternType="solid">
        <fgColor theme="9" tint="0.79998168889431442"/>
        <bgColor rgb="FF00FF00"/>
      </patternFill>
    </fill>
    <fill>
      <patternFill patternType="solid">
        <fgColor theme="9" tint="0.79998168889431442"/>
        <bgColor rgb="FFFFF2CC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BF9000"/>
      </patternFill>
    </fill>
    <fill>
      <patternFill patternType="solid">
        <fgColor rgb="FFFFFF00"/>
        <bgColor rgb="FFD9D9D9"/>
      </patternFill>
    </fill>
    <fill>
      <patternFill patternType="solid">
        <fgColor theme="4" tint="0.39997558519241921"/>
        <bgColor rgb="FFA4C2F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rgb="FF93C47D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6B26B"/>
        <bgColor rgb="FFF6B26B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rgb="FFF6B26B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rgb="FF3C78D8"/>
      </patternFill>
    </fill>
    <fill>
      <patternFill patternType="solid">
        <fgColor rgb="FFCC00FF"/>
        <bgColor rgb="FFA4C2F4"/>
      </patternFill>
    </fill>
    <fill>
      <patternFill patternType="solid">
        <fgColor rgb="FFFFCCFF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rgb="FFFFFF00"/>
        <bgColor rgb="FF999999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39997558519241921"/>
        <bgColor rgb="FFA4C2F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6" fillId="0" borderId="0"/>
  </cellStyleXfs>
  <cellXfs count="157">
    <xf numFmtId="0" fontId="0" fillId="0" borderId="0" xfId="0"/>
    <xf numFmtId="0" fontId="3" fillId="2" borderId="0" xfId="0" applyFont="1" applyFill="1"/>
    <xf numFmtId="0" fontId="4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6" fillId="3" borderId="0" xfId="0" applyFont="1" applyFill="1"/>
    <xf numFmtId="0" fontId="7" fillId="3" borderId="0" xfId="0" applyFont="1" applyFill="1" applyAlignment="1">
      <alignment horizontal="center" vertical="center"/>
    </xf>
    <xf numFmtId="0" fontId="1" fillId="0" borderId="1" xfId="0" applyFont="1" applyBorder="1"/>
    <xf numFmtId="0" fontId="6" fillId="0" borderId="0" xfId="0" applyFont="1"/>
    <xf numFmtId="0" fontId="3" fillId="0" borderId="0" xfId="0" applyFont="1"/>
    <xf numFmtId="0" fontId="4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9" fontId="9" fillId="0" borderId="0" xfId="0" applyNumberFormat="1" applyFont="1"/>
    <xf numFmtId="9" fontId="1" fillId="0" borderId="0" xfId="0" applyNumberFormat="1" applyFont="1"/>
    <xf numFmtId="0" fontId="9" fillId="5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/>
    </xf>
    <xf numFmtId="0" fontId="9" fillId="6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left"/>
    </xf>
    <xf numFmtId="0" fontId="9" fillId="5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center"/>
    </xf>
    <xf numFmtId="0" fontId="9" fillId="7" borderId="1" xfId="0" applyFont="1" applyFill="1" applyBorder="1" applyAlignment="1">
      <alignment horizontal="left"/>
    </xf>
    <xf numFmtId="0" fontId="11" fillId="5" borderId="1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left"/>
    </xf>
    <xf numFmtId="0" fontId="13" fillId="6" borderId="1" xfId="0" applyFont="1" applyFill="1" applyBorder="1" applyAlignment="1">
      <alignment horizontal="left"/>
    </xf>
    <xf numFmtId="0" fontId="14" fillId="6" borderId="1" xfId="0" applyFont="1" applyFill="1" applyBorder="1" applyAlignment="1">
      <alignment horizontal="left"/>
    </xf>
    <xf numFmtId="0" fontId="1" fillId="0" borderId="7" xfId="0" applyFont="1" applyBorder="1" applyAlignment="1">
      <alignment horizontal="center"/>
    </xf>
    <xf numFmtId="0" fontId="1" fillId="0" borderId="5" xfId="0" applyFont="1" applyBorder="1"/>
    <xf numFmtId="0" fontId="1" fillId="3" borderId="5" xfId="0" applyFont="1" applyFill="1" applyBorder="1" applyAlignment="1">
      <alignment horizontal="left"/>
    </xf>
    <xf numFmtId="0" fontId="1" fillId="0" borderId="2" xfId="0" applyFont="1" applyBorder="1"/>
    <xf numFmtId="0" fontId="1" fillId="0" borderId="8" xfId="0" applyFont="1" applyBorder="1"/>
    <xf numFmtId="0" fontId="0" fillId="0" borderId="8" xfId="0" applyBorder="1"/>
    <xf numFmtId="0" fontId="7" fillId="9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6" fillId="0" borderId="0" xfId="1"/>
    <xf numFmtId="0" fontId="18" fillId="0" borderId="0" xfId="1" applyFont="1" applyAlignment="1">
      <alignment horizontal="center"/>
    </xf>
    <xf numFmtId="0" fontId="19" fillId="0" borderId="0" xfId="1" applyFont="1"/>
    <xf numFmtId="0" fontId="20" fillId="0" borderId="0" xfId="1" applyFont="1"/>
    <xf numFmtId="0" fontId="21" fillId="0" borderId="0" xfId="1" applyFont="1"/>
    <xf numFmtId="0" fontId="22" fillId="0" borderId="0" xfId="1" applyFont="1"/>
    <xf numFmtId="0" fontId="19" fillId="0" borderId="0" xfId="1" applyFont="1" applyAlignment="1">
      <alignment horizontal="center"/>
    </xf>
    <xf numFmtId="0" fontId="23" fillId="0" borderId="0" xfId="1" applyFont="1"/>
    <xf numFmtId="0" fontId="23" fillId="0" borderId="0" xfId="1" applyFont="1" applyAlignment="1">
      <alignment horizontal="left"/>
    </xf>
    <xf numFmtId="0" fontId="23" fillId="0" borderId="0" xfId="1" applyFont="1" applyAlignment="1">
      <alignment horizontal="center"/>
    </xf>
    <xf numFmtId="0" fontId="20" fillId="0" borderId="0" xfId="1" applyFont="1" applyAlignment="1">
      <alignment horizontal="center"/>
    </xf>
    <xf numFmtId="0" fontId="22" fillId="10" borderId="8" xfId="1" applyFont="1" applyFill="1" applyBorder="1" applyAlignment="1">
      <alignment horizontal="center" vertical="center" wrapText="1"/>
    </xf>
    <xf numFmtId="0" fontId="24" fillId="10" borderId="8" xfId="1" applyFont="1" applyFill="1" applyBorder="1" applyAlignment="1">
      <alignment horizontal="center" vertical="center" wrapText="1"/>
    </xf>
    <xf numFmtId="0" fontId="22" fillId="0" borderId="8" xfId="1" applyFont="1" applyBorder="1" applyAlignment="1">
      <alignment vertical="center"/>
    </xf>
    <xf numFmtId="0" fontId="25" fillId="0" borderId="8" xfId="1" applyFont="1" applyBorder="1" applyAlignment="1">
      <alignment vertical="center"/>
    </xf>
    <xf numFmtId="0" fontId="22" fillId="0" borderId="8" xfId="1" applyFont="1" applyBorder="1" applyAlignment="1">
      <alignment horizontal="center" vertical="center"/>
    </xf>
    <xf numFmtId="0" fontId="26" fillId="0" borderId="0" xfId="1" applyFont="1" applyAlignment="1">
      <alignment vertical="center"/>
    </xf>
    <xf numFmtId="0" fontId="16" fillId="12" borderId="8" xfId="1" applyFill="1" applyBorder="1" applyAlignment="1">
      <alignment vertical="center" wrapText="1"/>
    </xf>
    <xf numFmtId="0" fontId="16" fillId="12" borderId="8" xfId="1" applyFill="1" applyBorder="1" applyAlignment="1">
      <alignment horizontal="center" vertical="center" wrapText="1"/>
    </xf>
    <xf numFmtId="0" fontId="27" fillId="12" borderId="8" xfId="1" applyFont="1" applyFill="1" applyBorder="1" applyAlignment="1">
      <alignment horizontal="center" vertical="center" wrapText="1"/>
    </xf>
    <xf numFmtId="0" fontId="19" fillId="12" borderId="8" xfId="1" applyFont="1" applyFill="1" applyBorder="1" applyAlignment="1">
      <alignment horizontal="center" vertical="center"/>
    </xf>
    <xf numFmtId="0" fontId="28" fillId="12" borderId="8" xfId="1" applyFont="1" applyFill="1" applyBorder="1" applyAlignment="1">
      <alignment horizontal="center" vertical="center"/>
    </xf>
    <xf numFmtId="0" fontId="16" fillId="15" borderId="8" xfId="1" applyFill="1" applyBorder="1" applyAlignment="1">
      <alignment vertical="center" wrapText="1"/>
    </xf>
    <xf numFmtId="0" fontId="16" fillId="15" borderId="8" xfId="1" applyFill="1" applyBorder="1" applyAlignment="1">
      <alignment horizontal="center" vertical="center" wrapText="1"/>
    </xf>
    <xf numFmtId="0" fontId="27" fillId="15" borderId="8" xfId="1" applyFont="1" applyFill="1" applyBorder="1" applyAlignment="1">
      <alignment horizontal="center" vertical="center" wrapText="1"/>
    </xf>
    <xf numFmtId="0" fontId="19" fillId="15" borderId="8" xfId="1" applyFont="1" applyFill="1" applyBorder="1" applyAlignment="1">
      <alignment horizontal="center" vertical="center"/>
    </xf>
    <xf numFmtId="0" fontId="28" fillId="15" borderId="8" xfId="1" applyFont="1" applyFill="1" applyBorder="1" applyAlignment="1">
      <alignment horizontal="center" vertical="center"/>
    </xf>
    <xf numFmtId="0" fontId="16" fillId="18" borderId="8" xfId="1" applyFill="1" applyBorder="1" applyAlignment="1">
      <alignment vertical="center" wrapText="1"/>
    </xf>
    <xf numFmtId="0" fontId="16" fillId="18" borderId="8" xfId="1" applyFill="1" applyBorder="1" applyAlignment="1">
      <alignment horizontal="center" vertical="center" wrapText="1"/>
    </xf>
    <xf numFmtId="0" fontId="27" fillId="18" borderId="8" xfId="1" applyFont="1" applyFill="1" applyBorder="1" applyAlignment="1">
      <alignment horizontal="center" vertical="center" wrapText="1"/>
    </xf>
    <xf numFmtId="0" fontId="19" fillId="18" borderId="8" xfId="1" applyFont="1" applyFill="1" applyBorder="1" applyAlignment="1">
      <alignment horizontal="center" vertical="center"/>
    </xf>
    <xf numFmtId="0" fontId="28" fillId="18" borderId="8" xfId="1" applyFont="1" applyFill="1" applyBorder="1" applyAlignment="1">
      <alignment horizontal="center" vertical="center"/>
    </xf>
    <xf numFmtId="0" fontId="16" fillId="20" borderId="8" xfId="1" applyFill="1" applyBorder="1" applyAlignment="1">
      <alignment vertical="center" wrapText="1"/>
    </xf>
    <xf numFmtId="0" fontId="16" fillId="20" borderId="8" xfId="1" applyFill="1" applyBorder="1" applyAlignment="1">
      <alignment horizontal="center" vertical="center" wrapText="1"/>
    </xf>
    <xf numFmtId="0" fontId="27" fillId="20" borderId="8" xfId="1" applyFont="1" applyFill="1" applyBorder="1" applyAlignment="1">
      <alignment horizontal="center" vertical="center" wrapText="1"/>
    </xf>
    <xf numFmtId="0" fontId="19" fillId="20" borderId="8" xfId="1" applyFont="1" applyFill="1" applyBorder="1" applyAlignment="1">
      <alignment horizontal="center" vertical="center"/>
    </xf>
    <xf numFmtId="0" fontId="28" fillId="20" borderId="8" xfId="1" applyFont="1" applyFill="1" applyBorder="1" applyAlignment="1">
      <alignment horizontal="center" vertical="center"/>
    </xf>
    <xf numFmtId="0" fontId="27" fillId="20" borderId="8" xfId="1" applyFont="1" applyFill="1" applyBorder="1" applyAlignment="1">
      <alignment vertical="center" wrapText="1"/>
    </xf>
    <xf numFmtId="0" fontId="16" fillId="24" borderId="8" xfId="1" applyFill="1" applyBorder="1" applyAlignment="1">
      <alignment vertical="center" wrapText="1"/>
    </xf>
    <xf numFmtId="0" fontId="16" fillId="24" borderId="8" xfId="1" applyFill="1" applyBorder="1" applyAlignment="1">
      <alignment horizontal="center" vertical="center" wrapText="1"/>
    </xf>
    <xf numFmtId="0" fontId="27" fillId="24" borderId="8" xfId="1" applyFont="1" applyFill="1" applyBorder="1" applyAlignment="1">
      <alignment horizontal="center" vertical="center" wrapText="1"/>
    </xf>
    <xf numFmtId="0" fontId="19" fillId="24" borderId="8" xfId="1" applyFont="1" applyFill="1" applyBorder="1" applyAlignment="1">
      <alignment horizontal="center" vertical="center"/>
    </xf>
    <xf numFmtId="0" fontId="28" fillId="24" borderId="8" xfId="1" applyFont="1" applyFill="1" applyBorder="1" applyAlignment="1">
      <alignment horizontal="center" vertical="center"/>
    </xf>
    <xf numFmtId="0" fontId="22" fillId="26" borderId="8" xfId="1" applyFont="1" applyFill="1" applyBorder="1" applyAlignment="1">
      <alignment vertical="center"/>
    </xf>
    <xf numFmtId="0" fontId="22" fillId="26" borderId="8" xfId="1" applyFont="1" applyFill="1" applyBorder="1" applyAlignment="1">
      <alignment horizontal="right" vertical="center"/>
    </xf>
    <xf numFmtId="0" fontId="22" fillId="26" borderId="8" xfId="1" applyFont="1" applyFill="1" applyBorder="1" applyAlignment="1">
      <alignment horizontal="center" vertical="center"/>
    </xf>
    <xf numFmtId="0" fontId="28" fillId="0" borderId="0" xfId="1" applyFont="1"/>
    <xf numFmtId="0" fontId="28" fillId="0" borderId="0" xfId="1" applyFont="1" applyAlignment="1">
      <alignment horizontal="center"/>
    </xf>
    <xf numFmtId="0" fontId="22" fillId="0" borderId="11" xfId="1" applyFont="1" applyBorder="1" applyAlignment="1">
      <alignment vertical="center"/>
    </xf>
    <xf numFmtId="0" fontId="30" fillId="0" borderId="11" xfId="1" applyFont="1" applyBorder="1" applyAlignment="1">
      <alignment vertical="center"/>
    </xf>
    <xf numFmtId="0" fontId="22" fillId="0" borderId="11" xfId="1" applyFont="1" applyBorder="1" applyAlignment="1">
      <alignment horizontal="center" vertical="center"/>
    </xf>
    <xf numFmtId="0" fontId="16" fillId="7" borderId="8" xfId="1" applyFill="1" applyBorder="1" applyAlignment="1">
      <alignment vertical="center" wrapText="1"/>
    </xf>
    <xf numFmtId="0" fontId="16" fillId="7" borderId="8" xfId="1" applyFill="1" applyBorder="1" applyAlignment="1">
      <alignment horizontal="center" vertical="center" wrapText="1"/>
    </xf>
    <xf numFmtId="0" fontId="27" fillId="7" borderId="8" xfId="1" applyFont="1" applyFill="1" applyBorder="1" applyAlignment="1">
      <alignment horizontal="center" vertical="center" wrapText="1"/>
    </xf>
    <xf numFmtId="0" fontId="31" fillId="7" borderId="8" xfId="1" applyFont="1" applyFill="1" applyBorder="1" applyAlignment="1">
      <alignment horizontal="center" vertical="center"/>
    </xf>
    <xf numFmtId="0" fontId="32" fillId="7" borderId="8" xfId="1" applyFont="1" applyFill="1" applyBorder="1" applyAlignment="1">
      <alignment horizontal="center" vertical="center"/>
    </xf>
    <xf numFmtId="0" fontId="22" fillId="0" borderId="0" xfId="1" applyFont="1" applyAlignment="1">
      <alignment vertical="center"/>
    </xf>
    <xf numFmtId="0" fontId="30" fillId="0" borderId="0" xfId="1" applyFont="1" applyAlignment="1">
      <alignment vertical="center"/>
    </xf>
    <xf numFmtId="0" fontId="34" fillId="0" borderId="0" xfId="1" applyFont="1" applyAlignment="1">
      <alignment vertical="center"/>
    </xf>
    <xf numFmtId="0" fontId="22" fillId="0" borderId="0" xfId="1" applyFont="1" applyAlignment="1">
      <alignment horizontal="center" vertical="center"/>
    </xf>
    <xf numFmtId="0" fontId="16" fillId="29" borderId="8" xfId="1" applyFill="1" applyBorder="1" applyAlignment="1">
      <alignment vertical="center" wrapText="1"/>
    </xf>
    <xf numFmtId="0" fontId="16" fillId="29" borderId="8" xfId="1" applyFill="1" applyBorder="1" applyAlignment="1">
      <alignment horizontal="center" vertical="center" wrapText="1"/>
    </xf>
    <xf numFmtId="0" fontId="27" fillId="29" borderId="8" xfId="1" applyFont="1" applyFill="1" applyBorder="1" applyAlignment="1">
      <alignment horizontal="center" vertical="center" wrapText="1"/>
    </xf>
    <xf numFmtId="0" fontId="19" fillId="29" borderId="8" xfId="1" applyFont="1" applyFill="1" applyBorder="1" applyAlignment="1">
      <alignment horizontal="center" vertical="center"/>
    </xf>
    <xf numFmtId="0" fontId="28" fillId="29" borderId="8" xfId="1" applyFont="1" applyFill="1" applyBorder="1" applyAlignment="1">
      <alignment horizontal="center" vertical="center"/>
    </xf>
    <xf numFmtId="0" fontId="35" fillId="0" borderId="0" xfId="1" applyFont="1"/>
    <xf numFmtId="0" fontId="35" fillId="0" borderId="0" xfId="1" applyFont="1" applyAlignment="1">
      <alignment horizontal="center"/>
    </xf>
    <xf numFmtId="0" fontId="36" fillId="0" borderId="0" xfId="1" applyFont="1" applyAlignment="1">
      <alignment horizontal="center"/>
    </xf>
    <xf numFmtId="0" fontId="35" fillId="2" borderId="0" xfId="1" applyFont="1" applyFill="1" applyAlignment="1">
      <alignment horizontal="center"/>
    </xf>
    <xf numFmtId="0" fontId="37" fillId="0" borderId="0" xfId="1" applyFont="1" applyAlignment="1">
      <alignment horizontal="center"/>
    </xf>
    <xf numFmtId="0" fontId="38" fillId="0" borderId="0" xfId="1" applyFont="1" applyAlignment="1">
      <alignment horizontal="center"/>
    </xf>
    <xf numFmtId="0" fontId="39" fillId="0" borderId="0" xfId="1" applyFont="1" applyAlignment="1">
      <alignment vertical="center" wrapText="1"/>
    </xf>
    <xf numFmtId="0" fontId="16" fillId="0" borderId="0" xfId="1" applyAlignment="1">
      <alignment horizontal="center"/>
    </xf>
    <xf numFmtId="0" fontId="16" fillId="0" borderId="0" xfId="1" applyAlignment="1">
      <alignment vertical="center" wrapText="1"/>
    </xf>
    <xf numFmtId="0" fontId="28" fillId="27" borderId="8" xfId="1" applyFont="1" applyFill="1" applyBorder="1" applyAlignment="1">
      <alignment horizontal="left" vertical="top"/>
    </xf>
    <xf numFmtId="0" fontId="28" fillId="27" borderId="8" xfId="1" applyFont="1" applyFill="1" applyBorder="1" applyAlignment="1">
      <alignment horizontal="center" vertical="top"/>
    </xf>
    <xf numFmtId="0" fontId="22" fillId="23" borderId="8" xfId="1" applyFont="1" applyFill="1" applyBorder="1" applyAlignment="1">
      <alignment horizontal="left" vertical="top" wrapText="1"/>
    </xf>
    <xf numFmtId="0" fontId="29" fillId="25" borderId="8" xfId="1" applyFont="1" applyFill="1" applyBorder="1" applyAlignment="1">
      <alignment wrapText="1"/>
    </xf>
    <xf numFmtId="0" fontId="22" fillId="23" borderId="8" xfId="1" applyFont="1" applyFill="1" applyBorder="1" applyAlignment="1">
      <alignment horizontal="center" vertical="top"/>
    </xf>
    <xf numFmtId="0" fontId="29" fillId="25" borderId="8" xfId="1" applyFont="1" applyFill="1" applyBorder="1" applyAlignment="1">
      <alignment horizontal="center"/>
    </xf>
    <xf numFmtId="0" fontId="22" fillId="28" borderId="8" xfId="1" applyFont="1" applyFill="1" applyBorder="1" applyAlignment="1">
      <alignment horizontal="left" vertical="top" wrapText="1"/>
    </xf>
    <xf numFmtId="0" fontId="29" fillId="30" borderId="8" xfId="1" applyFont="1" applyFill="1" applyBorder="1" applyAlignment="1">
      <alignment wrapText="1"/>
    </xf>
    <xf numFmtId="0" fontId="22" fillId="28" borderId="8" xfId="1" applyFont="1" applyFill="1" applyBorder="1" applyAlignment="1">
      <alignment horizontal="center" vertical="top"/>
    </xf>
    <xf numFmtId="0" fontId="29" fillId="30" borderId="8" xfId="1" applyFont="1" applyFill="1" applyBorder="1" applyAlignment="1">
      <alignment horizontal="center"/>
    </xf>
    <xf numFmtId="0" fontId="22" fillId="19" borderId="8" xfId="1" applyFont="1" applyFill="1" applyBorder="1" applyAlignment="1">
      <alignment horizontal="left" vertical="top"/>
    </xf>
    <xf numFmtId="0" fontId="29" fillId="21" borderId="8" xfId="1" applyFont="1" applyFill="1" applyBorder="1" applyAlignment="1">
      <alignment horizontal="left"/>
    </xf>
    <xf numFmtId="0" fontId="22" fillId="19" borderId="8" xfId="1" applyFont="1" applyFill="1" applyBorder="1" applyAlignment="1">
      <alignment horizontal="center" vertical="top"/>
    </xf>
    <xf numFmtId="0" fontId="29" fillId="21" borderId="8" xfId="1" applyFont="1" applyFill="1" applyBorder="1" applyAlignment="1">
      <alignment horizontal="center"/>
    </xf>
    <xf numFmtId="0" fontId="22" fillId="22" borderId="8" xfId="1" applyFont="1" applyFill="1" applyBorder="1" applyAlignment="1">
      <alignment horizontal="left" vertical="top"/>
    </xf>
    <xf numFmtId="0" fontId="22" fillId="22" borderId="8" xfId="1" applyFont="1" applyFill="1" applyBorder="1" applyAlignment="1">
      <alignment horizontal="center" vertical="top"/>
    </xf>
    <xf numFmtId="0" fontId="22" fillId="11" borderId="8" xfId="1" applyFont="1" applyFill="1" applyBorder="1" applyAlignment="1">
      <alignment horizontal="left" vertical="top"/>
    </xf>
    <xf numFmtId="0" fontId="29" fillId="13" borderId="8" xfId="1" applyFont="1" applyFill="1" applyBorder="1" applyAlignment="1">
      <alignment horizontal="left"/>
    </xf>
    <xf numFmtId="0" fontId="22" fillId="11" borderId="8" xfId="1" applyFont="1" applyFill="1" applyBorder="1" applyAlignment="1">
      <alignment horizontal="center" vertical="top"/>
    </xf>
    <xf numFmtId="0" fontId="29" fillId="13" borderId="8" xfId="1" applyFont="1" applyFill="1" applyBorder="1" applyAlignment="1">
      <alignment horizontal="center"/>
    </xf>
    <xf numFmtId="0" fontId="22" fillId="14" borderId="8" xfId="1" applyFont="1" applyFill="1" applyBorder="1" applyAlignment="1">
      <alignment horizontal="left" vertical="top"/>
    </xf>
    <xf numFmtId="0" fontId="29" fillId="16" borderId="8" xfId="1" applyFont="1" applyFill="1" applyBorder="1" applyAlignment="1">
      <alignment horizontal="left"/>
    </xf>
    <xf numFmtId="0" fontId="22" fillId="14" borderId="8" xfId="1" applyFont="1" applyFill="1" applyBorder="1" applyAlignment="1">
      <alignment horizontal="center" vertical="top"/>
    </xf>
    <xf numFmtId="0" fontId="29" fillId="16" borderId="8" xfId="1" applyFont="1" applyFill="1" applyBorder="1" applyAlignment="1">
      <alignment horizontal="center"/>
    </xf>
    <xf numFmtId="0" fontId="22" fillId="17" borderId="8" xfId="1" applyFont="1" applyFill="1" applyBorder="1" applyAlignment="1">
      <alignment horizontal="left" vertical="top"/>
    </xf>
    <xf numFmtId="0" fontId="29" fillId="0" borderId="8" xfId="1" applyFont="1" applyBorder="1" applyAlignment="1">
      <alignment horizontal="left"/>
    </xf>
    <xf numFmtId="0" fontId="22" fillId="17" borderId="8" xfId="1" applyFont="1" applyFill="1" applyBorder="1" applyAlignment="1">
      <alignment horizontal="center" vertical="top"/>
    </xf>
    <xf numFmtId="0" fontId="29" fillId="0" borderId="8" xfId="1" applyFont="1" applyBorder="1" applyAlignment="1">
      <alignment horizontal="center"/>
    </xf>
    <xf numFmtId="0" fontId="17" fillId="0" borderId="0" xfId="1" applyFont="1" applyAlignment="1">
      <alignment horizontal="center"/>
    </xf>
    <xf numFmtId="0" fontId="20" fillId="0" borderId="0" xfId="1" applyFont="1"/>
    <xf numFmtId="0" fontId="16" fillId="0" borderId="0" xfId="1"/>
    <xf numFmtId="0" fontId="23" fillId="0" borderId="0" xfId="1" applyFont="1" applyAlignment="1">
      <alignment horizontal="left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4" fillId="4" borderId="2" xfId="0" applyFont="1" applyFill="1" applyBorder="1" applyAlignment="1">
      <alignment horizontal="center" vertical="center"/>
    </xf>
    <xf numFmtId="0" fontId="8" fillId="0" borderId="6" xfId="0" applyFont="1" applyBorder="1"/>
    <xf numFmtId="0" fontId="4" fillId="4" borderId="3" xfId="0" applyFont="1" applyFill="1" applyBorder="1" applyAlignment="1">
      <alignment horizontal="center" vertical="center"/>
    </xf>
    <xf numFmtId="0" fontId="8" fillId="0" borderId="4" xfId="0" applyFont="1" applyBorder="1"/>
    <xf numFmtId="0" fontId="5" fillId="3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8" fillId="8" borderId="4" xfId="0" applyFont="1" applyFill="1" applyBorder="1"/>
    <xf numFmtId="0" fontId="8" fillId="8" borderId="5" xfId="0" applyFont="1" applyFill="1" applyBorder="1"/>
    <xf numFmtId="0" fontId="5" fillId="4" borderId="9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9794E39-6F02-4CD8-BA31-A19140006E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4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222570</xdr:colOff>
      <xdr:row>116</xdr:row>
      <xdr:rowOff>89647</xdr:rowOff>
    </xdr:from>
    <xdr:to>
      <xdr:col>9</xdr:col>
      <xdr:colOff>358589</xdr:colOff>
      <xdr:row>120</xdr:row>
      <xdr:rowOff>120869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D6FF34-2199-4467-95CE-A7A754AE30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-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9270" y="25601407"/>
          <a:ext cx="1126619" cy="77141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KERJAAN%20SMK\-%20TKI%20RPL\BASIS%20DATA\PERANGKAT%20AJAR%20BASIS%20DATA\aplikasi%20rpp%20lengkap\Aplikasi%20e-Perangkat\e-Perangkat\e-Perangkat%20_2.0%20SMK_Pangars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Identitas"/>
      <sheetName val="KIKD"/>
      <sheetName val="IPK"/>
      <sheetName val="Kegiatan Pembelajaran"/>
      <sheetName val="RPP#1"/>
      <sheetName val="RPP#2"/>
      <sheetName val="Silabus"/>
      <sheetName val="Program Semester"/>
      <sheetName val="Rencana Penilaian"/>
    </sheetNames>
    <sheetDataSet>
      <sheetData sheetId="0"/>
      <sheetData sheetId="1"/>
      <sheetData sheetId="2"/>
      <sheetData sheetId="3"/>
      <sheetData sheetId="4"/>
      <sheetData sheetId="5">
        <row r="2">
          <cell r="R2" t="str">
            <v>3.8</v>
          </cell>
          <cell r="S2" t="str">
            <v>3.8.1</v>
          </cell>
          <cell r="T2" t="str">
            <v>3.9.1</v>
          </cell>
          <cell r="U2" t="str">
            <v>3.10.1</v>
          </cell>
          <cell r="V2" t="str">
            <v>3.11.1</v>
          </cell>
          <cell r="W2" t="str">
            <v>3.12.1</v>
          </cell>
          <cell r="X2" t="str">
            <v>3.13.1</v>
          </cell>
          <cell r="Y2" t="str">
            <v>3.14.1</v>
          </cell>
          <cell r="Z2" t="str">
            <v>3.15.1</v>
          </cell>
          <cell r="AA2" t="str">
            <v>3.16.1</v>
          </cell>
          <cell r="AB2" t="str">
            <v>3.17.1</v>
          </cell>
        </row>
        <row r="3">
          <cell r="R3" t="str">
            <v>3.9</v>
          </cell>
          <cell r="S3" t="str">
            <v>3.8.2</v>
          </cell>
          <cell r="T3" t="str">
            <v>3.9.2</v>
          </cell>
          <cell r="U3" t="str">
            <v>3.10.2</v>
          </cell>
          <cell r="V3" t="str">
            <v>3.11.2</v>
          </cell>
          <cell r="W3" t="str">
            <v>3.12.2</v>
          </cell>
          <cell r="X3" t="str">
            <v>3.13.2</v>
          </cell>
          <cell r="Y3" t="str">
            <v>3.14.2</v>
          </cell>
          <cell r="Z3" t="str">
            <v>3.15.2</v>
          </cell>
          <cell r="AA3" t="str">
            <v>3.16.2</v>
          </cell>
          <cell r="AB3" t="str">
            <v>3.17.2</v>
          </cell>
        </row>
        <row r="4">
          <cell r="R4" t="str">
            <v>3.10</v>
          </cell>
          <cell r="S4" t="str">
            <v>3.8.3</v>
          </cell>
          <cell r="T4" t="str">
            <v>3.9.3</v>
          </cell>
          <cell r="U4" t="str">
            <v>3.10.3</v>
          </cell>
          <cell r="V4" t="str">
            <v>3.11.3</v>
          </cell>
          <cell r="W4" t="str">
            <v>3.12.3</v>
          </cell>
          <cell r="X4" t="str">
            <v>3.13.3</v>
          </cell>
          <cell r="Y4" t="str">
            <v>3.14.3</v>
          </cell>
          <cell r="Z4" t="str">
            <v>3.15.3</v>
          </cell>
          <cell r="AA4" t="str">
            <v>3.16.3</v>
          </cell>
          <cell r="AB4" t="str">
            <v>3.17.3</v>
          </cell>
        </row>
        <row r="5">
          <cell r="R5" t="str">
            <v>3.11</v>
          </cell>
          <cell r="S5" t="str">
            <v>3.8.4</v>
          </cell>
          <cell r="T5" t="str">
            <v>3.9.4</v>
          </cell>
          <cell r="U5" t="str">
            <v>3.10.4</v>
          </cell>
          <cell r="V5" t="str">
            <v>3.11.4</v>
          </cell>
          <cell r="W5" t="str">
            <v>3.12.4</v>
          </cell>
          <cell r="X5" t="str">
            <v>3.13.4</v>
          </cell>
          <cell r="Y5" t="str">
            <v>3.14.4</v>
          </cell>
          <cell r="Z5" t="str">
            <v>3.15.4</v>
          </cell>
          <cell r="AA5" t="str">
            <v>3.16.4</v>
          </cell>
          <cell r="AB5" t="str">
            <v>3.17.4</v>
          </cell>
        </row>
        <row r="6">
          <cell r="R6" t="str">
            <v>3.12</v>
          </cell>
          <cell r="S6" t="str">
            <v>3.8.5</v>
          </cell>
          <cell r="T6" t="str">
            <v>3.9.5</v>
          </cell>
          <cell r="U6" t="str">
            <v>3.10.5</v>
          </cell>
          <cell r="V6" t="str">
            <v>3.11.5</v>
          </cell>
          <cell r="W6" t="str">
            <v>3.12.5</v>
          </cell>
          <cell r="X6" t="str">
            <v>3.13.5</v>
          </cell>
          <cell r="Y6" t="str">
            <v>3.14.5</v>
          </cell>
          <cell r="Z6" t="str">
            <v>3.15.5</v>
          </cell>
          <cell r="AA6" t="str">
            <v>3.16.5</v>
          </cell>
          <cell r="AB6" t="str">
            <v>3.17.5</v>
          </cell>
        </row>
        <row r="7">
          <cell r="R7" t="str">
            <v>3.13</v>
          </cell>
        </row>
        <row r="8">
          <cell r="R8" t="str">
            <v>3.14</v>
          </cell>
        </row>
        <row r="9">
          <cell r="R9" t="str">
            <v>3.15</v>
          </cell>
        </row>
        <row r="10">
          <cell r="R10" t="str">
            <v>3.16</v>
          </cell>
        </row>
        <row r="11">
          <cell r="R11" t="str">
            <v>3.17</v>
          </cell>
        </row>
      </sheetData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1E380-7A5E-4C60-B8AF-7CE4502FC701}">
  <sheetPr>
    <outlinePr summaryBelow="0" summaryRight="0"/>
  </sheetPr>
  <dimension ref="A1:L134"/>
  <sheetViews>
    <sheetView tabSelected="1" view="pageBreakPreview" topLeftCell="A5" zoomScaleNormal="145" zoomScaleSheetLayoutView="100" workbookViewId="0">
      <selection activeCell="C41" sqref="C41"/>
    </sheetView>
  </sheetViews>
  <sheetFormatPr defaultColWidth="12.5546875" defaultRowHeight="15.75" customHeight="1"/>
  <cols>
    <col min="1" max="1" width="11" style="38" customWidth="1"/>
    <col min="2" max="2" width="17.109375" style="38" customWidth="1"/>
    <col min="3" max="3" width="47.5546875" style="38" customWidth="1"/>
    <col min="4" max="4" width="8.109375" style="38" customWidth="1"/>
    <col min="5" max="5" width="9.33203125" style="38" customWidth="1"/>
    <col min="6" max="6" width="8" style="38" customWidth="1"/>
    <col min="7" max="7" width="10.21875" style="38" customWidth="1"/>
    <col min="8" max="8" width="7" style="38" customWidth="1"/>
    <col min="9" max="9" width="7.44140625" style="38" customWidth="1"/>
    <col min="10" max="10" width="6.21875" style="38" customWidth="1"/>
    <col min="11" max="11" width="7.44140625" style="38" customWidth="1"/>
    <col min="12" max="12" width="6.44140625" style="110" customWidth="1"/>
    <col min="13" max="16384" width="12.5546875" style="38"/>
  </cols>
  <sheetData>
    <row r="1" spans="1:12" ht="17.399999999999999">
      <c r="A1" s="140" t="s">
        <v>83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</row>
    <row r="2" spans="1:12" ht="17.399999999999999">
      <c r="A2" s="39"/>
      <c r="B2" s="39"/>
      <c r="C2" s="39"/>
      <c r="D2" s="39"/>
      <c r="E2" s="39"/>
      <c r="F2" s="39"/>
      <c r="G2" s="39"/>
      <c r="H2" s="39"/>
      <c r="I2" s="39"/>
      <c r="J2" s="39"/>
      <c r="K2" s="40"/>
      <c r="L2" s="39"/>
    </row>
    <row r="3" spans="1:12" ht="14.4">
      <c r="A3" s="141" t="s">
        <v>84</v>
      </c>
      <c r="B3" s="142"/>
      <c r="C3" s="42" t="s">
        <v>85</v>
      </c>
      <c r="D3" s="43"/>
      <c r="E3" s="43"/>
      <c r="F3" s="43"/>
      <c r="G3" s="43"/>
      <c r="H3" s="43"/>
      <c r="I3" s="40"/>
      <c r="J3" s="40"/>
      <c r="K3" s="40"/>
      <c r="L3" s="44"/>
    </row>
    <row r="4" spans="1:12" ht="14.4">
      <c r="A4" s="45" t="s">
        <v>86</v>
      </c>
      <c r="B4" s="45"/>
      <c r="C4" s="46" t="s">
        <v>87</v>
      </c>
      <c r="D4" s="43"/>
      <c r="E4" s="43"/>
      <c r="F4" s="43"/>
      <c r="G4" s="43"/>
      <c r="H4" s="43"/>
      <c r="I4" s="40"/>
      <c r="J4" s="40"/>
      <c r="K4" s="40"/>
      <c r="L4" s="47"/>
    </row>
    <row r="5" spans="1:12" ht="14.4">
      <c r="A5" s="45" t="s">
        <v>88</v>
      </c>
      <c r="B5" s="45"/>
      <c r="C5" s="143" t="s">
        <v>89</v>
      </c>
      <c r="D5" s="142"/>
      <c r="H5" s="43"/>
      <c r="I5" s="40"/>
      <c r="J5" s="40"/>
      <c r="K5" s="40"/>
      <c r="L5" s="47"/>
    </row>
    <row r="6" spans="1:12" ht="14.4">
      <c r="A6" s="141" t="s">
        <v>90</v>
      </c>
      <c r="B6" s="142"/>
      <c r="C6" s="46" t="s">
        <v>91</v>
      </c>
      <c r="D6" s="40"/>
      <c r="E6" s="40"/>
      <c r="F6" s="40"/>
      <c r="G6" s="40"/>
      <c r="H6" s="40"/>
      <c r="I6" s="40"/>
      <c r="J6" s="40"/>
      <c r="K6" s="40"/>
      <c r="L6" s="44"/>
    </row>
    <row r="7" spans="1:12" ht="14.4">
      <c r="A7" s="141" t="s">
        <v>92</v>
      </c>
      <c r="B7" s="142"/>
      <c r="C7" s="46" t="s">
        <v>93</v>
      </c>
      <c r="D7" s="40"/>
      <c r="E7" s="40"/>
      <c r="F7" s="40"/>
      <c r="G7" s="40"/>
      <c r="H7" s="40"/>
      <c r="I7" s="40"/>
      <c r="J7" s="40"/>
      <c r="K7" s="40"/>
      <c r="L7" s="44"/>
    </row>
    <row r="8" spans="1:12" ht="14.4">
      <c r="A8" s="141" t="s">
        <v>94</v>
      </c>
      <c r="B8" s="142"/>
      <c r="C8" s="46" t="s">
        <v>95</v>
      </c>
      <c r="D8" s="40"/>
      <c r="E8" s="40"/>
      <c r="F8" s="40"/>
      <c r="G8" s="40"/>
      <c r="H8" s="40"/>
      <c r="I8" s="40"/>
      <c r="J8" s="40"/>
      <c r="K8" s="40"/>
      <c r="L8" s="44"/>
    </row>
    <row r="9" spans="1:12" ht="14.4">
      <c r="A9" s="41"/>
      <c r="B9" s="41"/>
      <c r="C9" s="46"/>
      <c r="D9" s="40"/>
      <c r="E9" s="40"/>
      <c r="F9" s="40"/>
      <c r="G9" s="40"/>
      <c r="H9" s="40"/>
      <c r="I9" s="40"/>
      <c r="J9" s="40"/>
      <c r="K9" s="40"/>
      <c r="L9" s="48"/>
    </row>
    <row r="10" spans="1:12" ht="49.2" customHeight="1">
      <c r="A10" s="49" t="s">
        <v>3</v>
      </c>
      <c r="B10" s="49" t="s">
        <v>96</v>
      </c>
      <c r="C10" s="49" t="s">
        <v>97</v>
      </c>
      <c r="D10" s="50" t="s">
        <v>98</v>
      </c>
      <c r="E10" s="49" t="s">
        <v>99</v>
      </c>
      <c r="F10" s="50" t="s">
        <v>100</v>
      </c>
      <c r="G10" s="50" t="s">
        <v>101</v>
      </c>
      <c r="H10" s="50" t="s">
        <v>102</v>
      </c>
      <c r="I10" s="50" t="s">
        <v>103</v>
      </c>
      <c r="J10" s="49" t="s">
        <v>104</v>
      </c>
      <c r="K10" s="50" t="s">
        <v>105</v>
      </c>
      <c r="L10" s="49" t="s">
        <v>106</v>
      </c>
    </row>
    <row r="11" spans="1:12" s="54" customFormat="1" ht="32.4" customHeight="1">
      <c r="A11" s="51" t="s">
        <v>107</v>
      </c>
      <c r="B11" s="51"/>
      <c r="C11" s="52"/>
      <c r="D11" s="52"/>
      <c r="E11" s="52"/>
      <c r="F11" s="52"/>
      <c r="G11" s="52"/>
      <c r="H11" s="52"/>
      <c r="I11" s="52"/>
      <c r="J11" s="52"/>
      <c r="K11" s="52"/>
      <c r="L11" s="53"/>
    </row>
    <row r="12" spans="1:12" ht="15" customHeight="1">
      <c r="A12" s="128" t="s">
        <v>108</v>
      </c>
      <c r="B12" s="55" t="s">
        <v>109</v>
      </c>
      <c r="C12" s="55" t="s">
        <v>110</v>
      </c>
      <c r="D12" s="56">
        <v>1</v>
      </c>
      <c r="E12" s="55" t="s">
        <v>111</v>
      </c>
      <c r="F12" s="56">
        <v>20</v>
      </c>
      <c r="G12" s="57" t="s">
        <v>112</v>
      </c>
      <c r="H12" s="56">
        <v>1</v>
      </c>
      <c r="I12" s="58">
        <v>1</v>
      </c>
      <c r="J12" s="58">
        <v>9</v>
      </c>
      <c r="K12" s="59">
        <f t="shared" ref="K12:K65" si="0">I12*J12</f>
        <v>9</v>
      </c>
      <c r="L12" s="130">
        <f>SUM(K12:K18)</f>
        <v>63</v>
      </c>
    </row>
    <row r="13" spans="1:12" ht="15" customHeight="1">
      <c r="A13" s="129"/>
      <c r="B13" s="55" t="s">
        <v>113</v>
      </c>
      <c r="C13" s="55" t="s">
        <v>114</v>
      </c>
      <c r="D13" s="56">
        <v>2</v>
      </c>
      <c r="E13" s="55" t="s">
        <v>115</v>
      </c>
      <c r="F13" s="56">
        <v>21</v>
      </c>
      <c r="G13" s="57" t="s">
        <v>112</v>
      </c>
      <c r="H13" s="56">
        <v>1</v>
      </c>
      <c r="I13" s="58">
        <v>1</v>
      </c>
      <c r="J13" s="58">
        <v>9</v>
      </c>
      <c r="K13" s="59">
        <f t="shared" si="0"/>
        <v>9</v>
      </c>
      <c r="L13" s="131"/>
    </row>
    <row r="14" spans="1:12" ht="15" customHeight="1">
      <c r="A14" s="129"/>
      <c r="B14" s="55" t="s">
        <v>116</v>
      </c>
      <c r="C14" s="55" t="s">
        <v>117</v>
      </c>
      <c r="D14" s="56">
        <v>3</v>
      </c>
      <c r="E14" s="55" t="s">
        <v>118</v>
      </c>
      <c r="F14" s="56">
        <v>22</v>
      </c>
      <c r="G14" s="57" t="s">
        <v>112</v>
      </c>
      <c r="H14" s="56">
        <v>1</v>
      </c>
      <c r="I14" s="58">
        <v>1</v>
      </c>
      <c r="J14" s="58">
        <v>9</v>
      </c>
      <c r="K14" s="59">
        <f t="shared" si="0"/>
        <v>9</v>
      </c>
      <c r="L14" s="131"/>
    </row>
    <row r="15" spans="1:12" ht="15" customHeight="1">
      <c r="A15" s="129"/>
      <c r="B15" s="55" t="s">
        <v>119</v>
      </c>
      <c r="C15" s="55" t="s">
        <v>120</v>
      </c>
      <c r="D15" s="56">
        <v>4</v>
      </c>
      <c r="E15" s="55" t="s">
        <v>121</v>
      </c>
      <c r="F15" s="56">
        <v>23</v>
      </c>
      <c r="G15" s="57" t="s">
        <v>112</v>
      </c>
      <c r="H15" s="56">
        <v>1</v>
      </c>
      <c r="I15" s="58">
        <v>1</v>
      </c>
      <c r="J15" s="58">
        <v>9</v>
      </c>
      <c r="K15" s="59">
        <f t="shared" si="0"/>
        <v>9</v>
      </c>
      <c r="L15" s="131"/>
    </row>
    <row r="16" spans="1:12" ht="15" customHeight="1">
      <c r="A16" s="129"/>
      <c r="B16" s="55" t="s">
        <v>122</v>
      </c>
      <c r="C16" s="55" t="s">
        <v>123</v>
      </c>
      <c r="D16" s="56">
        <v>5</v>
      </c>
      <c r="E16" s="55" t="s">
        <v>124</v>
      </c>
      <c r="F16" s="56">
        <v>24</v>
      </c>
      <c r="G16" s="57" t="s">
        <v>112</v>
      </c>
      <c r="H16" s="56">
        <v>1</v>
      </c>
      <c r="I16" s="58">
        <v>1</v>
      </c>
      <c r="J16" s="58">
        <v>9</v>
      </c>
      <c r="K16" s="59">
        <f t="shared" si="0"/>
        <v>9</v>
      </c>
      <c r="L16" s="131"/>
    </row>
    <row r="17" spans="1:12" ht="15" customHeight="1">
      <c r="A17" s="129"/>
      <c r="B17" s="55" t="s">
        <v>125</v>
      </c>
      <c r="C17" s="55" t="s">
        <v>126</v>
      </c>
      <c r="D17" s="56">
        <v>6</v>
      </c>
      <c r="E17" s="55" t="s">
        <v>127</v>
      </c>
      <c r="F17" s="56">
        <v>25</v>
      </c>
      <c r="G17" s="57" t="s">
        <v>112</v>
      </c>
      <c r="H17" s="56">
        <v>1</v>
      </c>
      <c r="I17" s="58">
        <v>1</v>
      </c>
      <c r="J17" s="58">
        <v>9</v>
      </c>
      <c r="K17" s="59">
        <f t="shared" si="0"/>
        <v>9</v>
      </c>
      <c r="L17" s="131"/>
    </row>
    <row r="18" spans="1:12" ht="15" customHeight="1">
      <c r="A18" s="129"/>
      <c r="B18" s="55" t="s">
        <v>128</v>
      </c>
      <c r="C18" s="55" t="s">
        <v>129</v>
      </c>
      <c r="D18" s="56">
        <v>7</v>
      </c>
      <c r="E18" s="55" t="s">
        <v>111</v>
      </c>
      <c r="F18" s="56">
        <v>27</v>
      </c>
      <c r="G18" s="57" t="s">
        <v>112</v>
      </c>
      <c r="H18" s="56">
        <v>1</v>
      </c>
      <c r="I18" s="58">
        <v>1</v>
      </c>
      <c r="J18" s="58">
        <v>9</v>
      </c>
      <c r="K18" s="59">
        <f t="shared" si="0"/>
        <v>9</v>
      </c>
      <c r="L18" s="131"/>
    </row>
    <row r="19" spans="1:12" ht="15" customHeight="1">
      <c r="A19" s="132" t="s">
        <v>130</v>
      </c>
      <c r="B19" s="60" t="s">
        <v>131</v>
      </c>
      <c r="C19" s="60" t="s">
        <v>132</v>
      </c>
      <c r="D19" s="61">
        <v>8</v>
      </c>
      <c r="E19" s="60" t="s">
        <v>111</v>
      </c>
      <c r="F19" s="61">
        <v>10</v>
      </c>
      <c r="G19" s="62" t="s">
        <v>133</v>
      </c>
      <c r="H19" s="61">
        <v>2</v>
      </c>
      <c r="I19" s="63">
        <v>1</v>
      </c>
      <c r="J19" s="63">
        <v>9</v>
      </c>
      <c r="K19" s="64">
        <f t="shared" si="0"/>
        <v>9</v>
      </c>
      <c r="L19" s="134">
        <f>SUM(K19:K21)</f>
        <v>27</v>
      </c>
    </row>
    <row r="20" spans="1:12" ht="15" customHeight="1">
      <c r="A20" s="132"/>
      <c r="B20" s="60" t="s">
        <v>134</v>
      </c>
      <c r="C20" s="60" t="s">
        <v>135</v>
      </c>
      <c r="D20" s="61">
        <v>9</v>
      </c>
      <c r="E20" s="60" t="s">
        <v>115</v>
      </c>
      <c r="F20" s="61">
        <v>11</v>
      </c>
      <c r="G20" s="62" t="s">
        <v>133</v>
      </c>
      <c r="H20" s="61">
        <v>2</v>
      </c>
      <c r="I20" s="63">
        <v>1</v>
      </c>
      <c r="J20" s="63">
        <v>9</v>
      </c>
      <c r="K20" s="64">
        <f t="shared" si="0"/>
        <v>9</v>
      </c>
      <c r="L20" s="134"/>
    </row>
    <row r="21" spans="1:12" ht="15" customHeight="1">
      <c r="A21" s="133"/>
      <c r="B21" s="60" t="s">
        <v>136</v>
      </c>
      <c r="C21" s="60" t="s">
        <v>137</v>
      </c>
      <c r="D21" s="61">
        <v>10</v>
      </c>
      <c r="E21" s="60" t="s">
        <v>118</v>
      </c>
      <c r="F21" s="61">
        <v>12</v>
      </c>
      <c r="G21" s="62" t="s">
        <v>133</v>
      </c>
      <c r="H21" s="61">
        <v>2</v>
      </c>
      <c r="I21" s="63">
        <v>1</v>
      </c>
      <c r="J21" s="63">
        <v>9</v>
      </c>
      <c r="K21" s="64">
        <f t="shared" si="0"/>
        <v>9</v>
      </c>
      <c r="L21" s="135"/>
    </row>
    <row r="22" spans="1:12" ht="15" customHeight="1">
      <c r="A22" s="136" t="s">
        <v>138</v>
      </c>
      <c r="B22" s="65" t="s">
        <v>139</v>
      </c>
      <c r="C22" s="65" t="s">
        <v>140</v>
      </c>
      <c r="D22" s="66">
        <v>11</v>
      </c>
      <c r="E22" s="65" t="s">
        <v>121</v>
      </c>
      <c r="F22" s="66">
        <v>13</v>
      </c>
      <c r="G22" s="67" t="s">
        <v>133</v>
      </c>
      <c r="H22" s="66">
        <v>2</v>
      </c>
      <c r="I22" s="68">
        <v>1</v>
      </c>
      <c r="J22" s="68">
        <v>9</v>
      </c>
      <c r="K22" s="69">
        <f t="shared" si="0"/>
        <v>9</v>
      </c>
      <c r="L22" s="138">
        <f>SUM(K22:K30)</f>
        <v>81</v>
      </c>
    </row>
    <row r="23" spans="1:12" ht="15" customHeight="1">
      <c r="A23" s="137"/>
      <c r="B23" s="65" t="s">
        <v>141</v>
      </c>
      <c r="C23" s="65" t="s">
        <v>142</v>
      </c>
      <c r="D23" s="66">
        <v>12</v>
      </c>
      <c r="E23" s="65" t="s">
        <v>124</v>
      </c>
      <c r="F23" s="66">
        <v>14</v>
      </c>
      <c r="G23" s="67" t="s">
        <v>133</v>
      </c>
      <c r="H23" s="66">
        <v>2</v>
      </c>
      <c r="I23" s="68">
        <v>1</v>
      </c>
      <c r="J23" s="68">
        <v>9</v>
      </c>
      <c r="K23" s="69">
        <f t="shared" si="0"/>
        <v>9</v>
      </c>
      <c r="L23" s="139"/>
    </row>
    <row r="24" spans="1:12" ht="15" customHeight="1">
      <c r="A24" s="137"/>
      <c r="B24" s="65" t="s">
        <v>143</v>
      </c>
      <c r="C24" s="65" t="s">
        <v>144</v>
      </c>
      <c r="D24" s="66">
        <v>13</v>
      </c>
      <c r="E24" s="65" t="s">
        <v>127</v>
      </c>
      <c r="F24" s="66">
        <v>15</v>
      </c>
      <c r="G24" s="67" t="s">
        <v>133</v>
      </c>
      <c r="H24" s="66">
        <v>2</v>
      </c>
      <c r="I24" s="68">
        <v>1</v>
      </c>
      <c r="J24" s="68">
        <v>9</v>
      </c>
      <c r="K24" s="69">
        <f t="shared" si="0"/>
        <v>9</v>
      </c>
      <c r="L24" s="139"/>
    </row>
    <row r="25" spans="1:12" ht="15" customHeight="1">
      <c r="A25" s="137"/>
      <c r="B25" s="65" t="s">
        <v>145</v>
      </c>
      <c r="C25" s="65" t="s">
        <v>146</v>
      </c>
      <c r="D25" s="66">
        <v>14</v>
      </c>
      <c r="E25" s="65" t="s">
        <v>115</v>
      </c>
      <c r="F25" s="66">
        <v>18</v>
      </c>
      <c r="G25" s="67" t="s">
        <v>133</v>
      </c>
      <c r="H25" s="66">
        <v>2</v>
      </c>
      <c r="I25" s="68">
        <v>1</v>
      </c>
      <c r="J25" s="68">
        <v>9</v>
      </c>
      <c r="K25" s="69">
        <f t="shared" si="0"/>
        <v>9</v>
      </c>
      <c r="L25" s="139"/>
    </row>
    <row r="26" spans="1:12" ht="15" customHeight="1">
      <c r="A26" s="137"/>
      <c r="B26" s="65" t="s">
        <v>147</v>
      </c>
      <c r="C26" s="65" t="s">
        <v>148</v>
      </c>
      <c r="D26" s="66">
        <v>15</v>
      </c>
      <c r="E26" s="65" t="s">
        <v>111</v>
      </c>
      <c r="F26" s="66">
        <v>31</v>
      </c>
      <c r="G26" s="67" t="s">
        <v>133</v>
      </c>
      <c r="H26" s="66">
        <v>3</v>
      </c>
      <c r="I26" s="68">
        <v>1</v>
      </c>
      <c r="J26" s="68">
        <v>9</v>
      </c>
      <c r="K26" s="69">
        <f t="shared" si="0"/>
        <v>9</v>
      </c>
      <c r="L26" s="139"/>
    </row>
    <row r="27" spans="1:12" ht="15" customHeight="1">
      <c r="A27" s="137"/>
      <c r="B27" s="65" t="s">
        <v>149</v>
      </c>
      <c r="C27" s="65" t="s">
        <v>150</v>
      </c>
      <c r="D27" s="66">
        <v>16</v>
      </c>
      <c r="E27" s="65" t="s">
        <v>115</v>
      </c>
      <c r="F27" s="66">
        <v>1</v>
      </c>
      <c r="G27" s="67" t="s">
        <v>151</v>
      </c>
      <c r="H27" s="66">
        <v>3</v>
      </c>
      <c r="I27" s="68">
        <v>1</v>
      </c>
      <c r="J27" s="68">
        <v>9</v>
      </c>
      <c r="K27" s="69">
        <f t="shared" si="0"/>
        <v>9</v>
      </c>
      <c r="L27" s="139"/>
    </row>
    <row r="28" spans="1:12" ht="15" customHeight="1">
      <c r="A28" s="137"/>
      <c r="B28" s="65" t="s">
        <v>152</v>
      </c>
      <c r="C28" s="65" t="s">
        <v>153</v>
      </c>
      <c r="D28" s="66">
        <v>17</v>
      </c>
      <c r="E28" s="65" t="s">
        <v>121</v>
      </c>
      <c r="F28" s="66">
        <v>3</v>
      </c>
      <c r="G28" s="67" t="s">
        <v>151</v>
      </c>
      <c r="H28" s="66">
        <v>3</v>
      </c>
      <c r="I28" s="68">
        <v>1</v>
      </c>
      <c r="J28" s="68">
        <v>9</v>
      </c>
      <c r="K28" s="69">
        <f t="shared" si="0"/>
        <v>9</v>
      </c>
      <c r="L28" s="139"/>
    </row>
    <row r="29" spans="1:12" ht="15" customHeight="1">
      <c r="A29" s="137"/>
      <c r="B29" s="65" t="s">
        <v>154</v>
      </c>
      <c r="C29" s="65" t="s">
        <v>155</v>
      </c>
      <c r="D29" s="66">
        <v>18</v>
      </c>
      <c r="E29" s="65" t="s">
        <v>124</v>
      </c>
      <c r="F29" s="66">
        <v>4</v>
      </c>
      <c r="G29" s="67" t="s">
        <v>151</v>
      </c>
      <c r="H29" s="66">
        <v>3</v>
      </c>
      <c r="I29" s="68">
        <v>1</v>
      </c>
      <c r="J29" s="68">
        <v>9</v>
      </c>
      <c r="K29" s="69">
        <f t="shared" si="0"/>
        <v>9</v>
      </c>
      <c r="L29" s="139"/>
    </row>
    <row r="30" spans="1:12" ht="15" customHeight="1">
      <c r="A30" s="137"/>
      <c r="B30" s="65" t="s">
        <v>156</v>
      </c>
      <c r="C30" s="65" t="s">
        <v>157</v>
      </c>
      <c r="D30" s="66">
        <v>19</v>
      </c>
      <c r="E30" s="65" t="s">
        <v>111</v>
      </c>
      <c r="F30" s="66">
        <v>7</v>
      </c>
      <c r="G30" s="67" t="s">
        <v>151</v>
      </c>
      <c r="H30" s="66">
        <v>3</v>
      </c>
      <c r="I30" s="68">
        <v>1</v>
      </c>
      <c r="J30" s="68">
        <v>9</v>
      </c>
      <c r="K30" s="69">
        <f t="shared" si="0"/>
        <v>9</v>
      </c>
      <c r="L30" s="139"/>
    </row>
    <row r="31" spans="1:12" ht="15" customHeight="1">
      <c r="A31" s="122" t="s">
        <v>158</v>
      </c>
      <c r="B31" s="70" t="s">
        <v>159</v>
      </c>
      <c r="C31" s="70" t="s">
        <v>160</v>
      </c>
      <c r="D31" s="71">
        <v>20</v>
      </c>
      <c r="E31" s="70" t="s">
        <v>111</v>
      </c>
      <c r="F31" s="71">
        <v>21</v>
      </c>
      <c r="G31" s="72" t="s">
        <v>151</v>
      </c>
      <c r="H31" s="71">
        <v>4</v>
      </c>
      <c r="I31" s="73">
        <v>1</v>
      </c>
      <c r="J31" s="73">
        <v>9</v>
      </c>
      <c r="K31" s="74">
        <f t="shared" si="0"/>
        <v>9</v>
      </c>
      <c r="L31" s="124">
        <f>SUM(K31:K44)</f>
        <v>126</v>
      </c>
    </row>
    <row r="32" spans="1:12" ht="15" customHeight="1">
      <c r="A32" s="122"/>
      <c r="B32" s="70" t="s">
        <v>161</v>
      </c>
      <c r="C32" s="75" t="s">
        <v>162</v>
      </c>
      <c r="D32" s="71">
        <v>21</v>
      </c>
      <c r="E32" s="70" t="s">
        <v>115</v>
      </c>
      <c r="F32" s="71">
        <v>22</v>
      </c>
      <c r="G32" s="72" t="s">
        <v>151</v>
      </c>
      <c r="H32" s="71">
        <v>4</v>
      </c>
      <c r="I32" s="73">
        <v>1</v>
      </c>
      <c r="J32" s="73">
        <v>9</v>
      </c>
      <c r="K32" s="74">
        <f t="shared" si="0"/>
        <v>9</v>
      </c>
      <c r="L32" s="124"/>
    </row>
    <row r="33" spans="1:12" ht="15" customHeight="1">
      <c r="A33" s="122"/>
      <c r="B33" s="70" t="s">
        <v>163</v>
      </c>
      <c r="C33" s="70" t="s">
        <v>164</v>
      </c>
      <c r="D33" s="71">
        <v>22</v>
      </c>
      <c r="E33" s="70" t="s">
        <v>118</v>
      </c>
      <c r="F33" s="71">
        <v>23</v>
      </c>
      <c r="G33" s="72" t="s">
        <v>151</v>
      </c>
      <c r="H33" s="71">
        <v>4</v>
      </c>
      <c r="I33" s="73">
        <v>1</v>
      </c>
      <c r="J33" s="73">
        <v>9</v>
      </c>
      <c r="K33" s="74">
        <f t="shared" si="0"/>
        <v>9</v>
      </c>
      <c r="L33" s="124"/>
    </row>
    <row r="34" spans="1:12" ht="15" customHeight="1">
      <c r="A34" s="123"/>
      <c r="B34" s="70" t="s">
        <v>165</v>
      </c>
      <c r="C34" s="70" t="s">
        <v>166</v>
      </c>
      <c r="D34" s="71">
        <v>23</v>
      </c>
      <c r="E34" s="70" t="s">
        <v>121</v>
      </c>
      <c r="F34" s="71">
        <v>24</v>
      </c>
      <c r="G34" s="72" t="s">
        <v>151</v>
      </c>
      <c r="H34" s="71">
        <v>4</v>
      </c>
      <c r="I34" s="73">
        <v>1</v>
      </c>
      <c r="J34" s="73">
        <v>9</v>
      </c>
      <c r="K34" s="74">
        <f t="shared" si="0"/>
        <v>9</v>
      </c>
      <c r="L34" s="125"/>
    </row>
    <row r="35" spans="1:12" ht="15" customHeight="1">
      <c r="A35" s="123"/>
      <c r="B35" s="70" t="s">
        <v>167</v>
      </c>
      <c r="C35" s="70" t="s">
        <v>168</v>
      </c>
      <c r="D35" s="71">
        <v>24</v>
      </c>
      <c r="E35" s="70" t="s">
        <v>124</v>
      </c>
      <c r="F35" s="71">
        <v>25</v>
      </c>
      <c r="G35" s="72" t="s">
        <v>151</v>
      </c>
      <c r="H35" s="71">
        <v>4</v>
      </c>
      <c r="I35" s="73">
        <v>1</v>
      </c>
      <c r="J35" s="73">
        <v>9</v>
      </c>
      <c r="K35" s="74">
        <f t="shared" si="0"/>
        <v>9</v>
      </c>
      <c r="L35" s="125"/>
    </row>
    <row r="36" spans="1:12" ht="15" customHeight="1">
      <c r="A36" s="123"/>
      <c r="B36" s="70" t="s">
        <v>169</v>
      </c>
      <c r="C36" s="70" t="s">
        <v>170</v>
      </c>
      <c r="D36" s="71">
        <v>25</v>
      </c>
      <c r="E36" s="70" t="s">
        <v>127</v>
      </c>
      <c r="F36" s="71">
        <v>26</v>
      </c>
      <c r="G36" s="72" t="s">
        <v>151</v>
      </c>
      <c r="H36" s="71">
        <v>4</v>
      </c>
      <c r="I36" s="73">
        <v>1</v>
      </c>
      <c r="J36" s="73">
        <v>9</v>
      </c>
      <c r="K36" s="74">
        <f t="shared" si="0"/>
        <v>9</v>
      </c>
      <c r="L36" s="125"/>
    </row>
    <row r="37" spans="1:12" ht="15" customHeight="1">
      <c r="A37" s="123"/>
      <c r="B37" s="70" t="s">
        <v>171</v>
      </c>
      <c r="C37" s="70" t="s">
        <v>172</v>
      </c>
      <c r="D37" s="71">
        <v>26</v>
      </c>
      <c r="E37" s="70" t="s">
        <v>111</v>
      </c>
      <c r="F37" s="71">
        <v>28</v>
      </c>
      <c r="G37" s="72" t="s">
        <v>151</v>
      </c>
      <c r="H37" s="71">
        <v>4</v>
      </c>
      <c r="I37" s="73">
        <v>1</v>
      </c>
      <c r="J37" s="73">
        <v>9</v>
      </c>
      <c r="K37" s="74">
        <f t="shared" si="0"/>
        <v>9</v>
      </c>
      <c r="L37" s="125"/>
    </row>
    <row r="38" spans="1:12" ht="15" customHeight="1">
      <c r="A38" s="123"/>
      <c r="B38" s="70" t="s">
        <v>173</v>
      </c>
      <c r="C38" s="70" t="s">
        <v>174</v>
      </c>
      <c r="D38" s="71">
        <v>27</v>
      </c>
      <c r="E38" s="70" t="s">
        <v>111</v>
      </c>
      <c r="F38" s="71">
        <v>12</v>
      </c>
      <c r="G38" s="72" t="s">
        <v>175</v>
      </c>
      <c r="H38" s="71">
        <v>5</v>
      </c>
      <c r="I38" s="73">
        <v>1</v>
      </c>
      <c r="J38" s="73">
        <v>9</v>
      </c>
      <c r="K38" s="74">
        <f t="shared" si="0"/>
        <v>9</v>
      </c>
      <c r="L38" s="125"/>
    </row>
    <row r="39" spans="1:12" ht="15" customHeight="1">
      <c r="A39" s="123"/>
      <c r="B39" s="70" t="s">
        <v>176</v>
      </c>
      <c r="C39" s="70" t="s">
        <v>177</v>
      </c>
      <c r="D39" s="71">
        <v>28</v>
      </c>
      <c r="E39" s="70" t="s">
        <v>115</v>
      </c>
      <c r="F39" s="71">
        <v>13</v>
      </c>
      <c r="G39" s="72" t="s">
        <v>175</v>
      </c>
      <c r="H39" s="71">
        <v>5</v>
      </c>
      <c r="I39" s="73">
        <v>1</v>
      </c>
      <c r="J39" s="73">
        <v>9</v>
      </c>
      <c r="K39" s="74">
        <f t="shared" si="0"/>
        <v>9</v>
      </c>
      <c r="L39" s="125"/>
    </row>
    <row r="40" spans="1:12" ht="15" customHeight="1">
      <c r="A40" s="123"/>
      <c r="B40" s="70" t="s">
        <v>178</v>
      </c>
      <c r="C40" s="70" t="s">
        <v>179</v>
      </c>
      <c r="D40" s="71">
        <v>29</v>
      </c>
      <c r="E40" s="70" t="s">
        <v>118</v>
      </c>
      <c r="F40" s="71">
        <v>14</v>
      </c>
      <c r="G40" s="72" t="s">
        <v>175</v>
      </c>
      <c r="H40" s="71">
        <v>5</v>
      </c>
      <c r="I40" s="73">
        <v>1</v>
      </c>
      <c r="J40" s="73">
        <v>9</v>
      </c>
      <c r="K40" s="74">
        <f t="shared" si="0"/>
        <v>9</v>
      </c>
      <c r="L40" s="125"/>
    </row>
    <row r="41" spans="1:12" ht="15" customHeight="1">
      <c r="A41" s="123"/>
      <c r="B41" s="70" t="s">
        <v>180</v>
      </c>
      <c r="C41" s="70" t="s">
        <v>181</v>
      </c>
      <c r="D41" s="71">
        <v>30</v>
      </c>
      <c r="E41" s="70" t="s">
        <v>121</v>
      </c>
      <c r="F41" s="71">
        <v>15</v>
      </c>
      <c r="G41" s="72" t="s">
        <v>175</v>
      </c>
      <c r="H41" s="71">
        <v>5</v>
      </c>
      <c r="I41" s="73">
        <v>1</v>
      </c>
      <c r="J41" s="73">
        <v>9</v>
      </c>
      <c r="K41" s="74">
        <f t="shared" si="0"/>
        <v>9</v>
      </c>
      <c r="L41" s="125"/>
    </row>
    <row r="42" spans="1:12" ht="15" customHeight="1">
      <c r="A42" s="123"/>
      <c r="B42" s="70" t="s">
        <v>182</v>
      </c>
      <c r="C42" s="70" t="s">
        <v>183</v>
      </c>
      <c r="D42" s="71">
        <v>31</v>
      </c>
      <c r="E42" s="70" t="s">
        <v>124</v>
      </c>
      <c r="F42" s="71">
        <v>16</v>
      </c>
      <c r="G42" s="72" t="s">
        <v>175</v>
      </c>
      <c r="H42" s="71">
        <v>5</v>
      </c>
      <c r="I42" s="73">
        <v>1</v>
      </c>
      <c r="J42" s="73">
        <v>9</v>
      </c>
      <c r="K42" s="74">
        <f t="shared" si="0"/>
        <v>9</v>
      </c>
      <c r="L42" s="125"/>
    </row>
    <row r="43" spans="1:12" ht="15" customHeight="1">
      <c r="A43" s="123"/>
      <c r="B43" s="70" t="s">
        <v>184</v>
      </c>
      <c r="C43" s="70" t="s">
        <v>183</v>
      </c>
      <c r="D43" s="71">
        <v>32</v>
      </c>
      <c r="E43" s="70" t="s">
        <v>127</v>
      </c>
      <c r="F43" s="71">
        <v>17</v>
      </c>
      <c r="G43" s="72" t="s">
        <v>175</v>
      </c>
      <c r="H43" s="71">
        <v>5</v>
      </c>
      <c r="I43" s="73">
        <v>1</v>
      </c>
      <c r="J43" s="73">
        <v>9</v>
      </c>
      <c r="K43" s="74">
        <f t="shared" si="0"/>
        <v>9</v>
      </c>
      <c r="L43" s="125"/>
    </row>
    <row r="44" spans="1:12" ht="15" customHeight="1">
      <c r="A44" s="123"/>
      <c r="B44" s="70" t="s">
        <v>185</v>
      </c>
      <c r="C44" s="70" t="s">
        <v>186</v>
      </c>
      <c r="D44" s="71">
        <v>33</v>
      </c>
      <c r="E44" s="70" t="s">
        <v>111</v>
      </c>
      <c r="F44" s="71">
        <v>19</v>
      </c>
      <c r="G44" s="72" t="s">
        <v>175</v>
      </c>
      <c r="H44" s="71">
        <v>5</v>
      </c>
      <c r="I44" s="73">
        <v>1</v>
      </c>
      <c r="J44" s="73">
        <v>9</v>
      </c>
      <c r="K44" s="74">
        <f t="shared" si="0"/>
        <v>9</v>
      </c>
      <c r="L44" s="125"/>
    </row>
    <row r="45" spans="1:12" ht="15" customHeight="1">
      <c r="A45" s="126" t="s">
        <v>187</v>
      </c>
      <c r="B45" s="55" t="s">
        <v>188</v>
      </c>
      <c r="C45" s="55" t="s">
        <v>189</v>
      </c>
      <c r="D45" s="56">
        <v>34</v>
      </c>
      <c r="E45" s="55" t="s">
        <v>111</v>
      </c>
      <c r="F45" s="56">
        <v>2</v>
      </c>
      <c r="G45" s="57" t="s">
        <v>190</v>
      </c>
      <c r="H45" s="56">
        <v>6</v>
      </c>
      <c r="I45" s="58">
        <v>1</v>
      </c>
      <c r="J45" s="58">
        <v>9</v>
      </c>
      <c r="K45" s="59">
        <f t="shared" si="0"/>
        <v>9</v>
      </c>
      <c r="L45" s="127">
        <f>SUM(K45:K61)</f>
        <v>153</v>
      </c>
    </row>
    <row r="46" spans="1:12" ht="15" customHeight="1">
      <c r="A46" s="126"/>
      <c r="B46" s="55" t="s">
        <v>191</v>
      </c>
      <c r="C46" s="55" t="s">
        <v>192</v>
      </c>
      <c r="D46" s="56">
        <v>35</v>
      </c>
      <c r="E46" s="55" t="s">
        <v>115</v>
      </c>
      <c r="F46" s="56">
        <v>3</v>
      </c>
      <c r="G46" s="57" t="s">
        <v>190</v>
      </c>
      <c r="H46" s="56">
        <v>6</v>
      </c>
      <c r="I46" s="58">
        <v>1</v>
      </c>
      <c r="J46" s="58">
        <v>9</v>
      </c>
      <c r="K46" s="59">
        <f t="shared" si="0"/>
        <v>9</v>
      </c>
      <c r="L46" s="127"/>
    </row>
    <row r="47" spans="1:12" ht="15" customHeight="1">
      <c r="A47" s="126"/>
      <c r="B47" s="55" t="s">
        <v>193</v>
      </c>
      <c r="C47" s="55" t="s">
        <v>194</v>
      </c>
      <c r="D47" s="56">
        <v>36</v>
      </c>
      <c r="E47" s="55" t="s">
        <v>118</v>
      </c>
      <c r="F47" s="56">
        <v>4</v>
      </c>
      <c r="G47" s="57" t="s">
        <v>190</v>
      </c>
      <c r="H47" s="56">
        <v>6</v>
      </c>
      <c r="I47" s="58">
        <v>1</v>
      </c>
      <c r="J47" s="58">
        <v>9</v>
      </c>
      <c r="K47" s="59">
        <f t="shared" si="0"/>
        <v>9</v>
      </c>
      <c r="L47" s="127"/>
    </row>
    <row r="48" spans="1:12" ht="15" customHeight="1">
      <c r="A48" s="126"/>
      <c r="B48" s="55" t="s">
        <v>195</v>
      </c>
      <c r="C48" s="55" t="s">
        <v>196</v>
      </c>
      <c r="D48" s="56">
        <v>37</v>
      </c>
      <c r="E48" s="55" t="s">
        <v>121</v>
      </c>
      <c r="F48" s="56">
        <v>5</v>
      </c>
      <c r="G48" s="57" t="s">
        <v>190</v>
      </c>
      <c r="H48" s="56">
        <v>6</v>
      </c>
      <c r="I48" s="58">
        <v>1</v>
      </c>
      <c r="J48" s="58">
        <v>9</v>
      </c>
      <c r="K48" s="59">
        <f t="shared" si="0"/>
        <v>9</v>
      </c>
      <c r="L48" s="127"/>
    </row>
    <row r="49" spans="1:12" ht="15" customHeight="1">
      <c r="A49" s="126"/>
      <c r="B49" s="55" t="s">
        <v>197</v>
      </c>
      <c r="C49" s="55" t="s">
        <v>198</v>
      </c>
      <c r="D49" s="56">
        <v>38</v>
      </c>
      <c r="E49" s="55" t="s">
        <v>124</v>
      </c>
      <c r="F49" s="56">
        <v>6</v>
      </c>
      <c r="G49" s="57" t="s">
        <v>190</v>
      </c>
      <c r="H49" s="56">
        <v>6</v>
      </c>
      <c r="I49" s="58">
        <v>1</v>
      </c>
      <c r="J49" s="58">
        <v>9</v>
      </c>
      <c r="K49" s="59">
        <f t="shared" si="0"/>
        <v>9</v>
      </c>
      <c r="L49" s="127"/>
    </row>
    <row r="50" spans="1:12" ht="15" customHeight="1">
      <c r="A50" s="126"/>
      <c r="B50" s="55" t="s">
        <v>199</v>
      </c>
      <c r="C50" s="55" t="s">
        <v>200</v>
      </c>
      <c r="D50" s="56">
        <v>39</v>
      </c>
      <c r="E50" s="55" t="s">
        <v>127</v>
      </c>
      <c r="F50" s="56">
        <v>7</v>
      </c>
      <c r="G50" s="57" t="s">
        <v>190</v>
      </c>
      <c r="H50" s="56">
        <v>6</v>
      </c>
      <c r="I50" s="58">
        <v>1</v>
      </c>
      <c r="J50" s="58">
        <v>9</v>
      </c>
      <c r="K50" s="59">
        <f t="shared" si="0"/>
        <v>9</v>
      </c>
      <c r="L50" s="127"/>
    </row>
    <row r="51" spans="1:12" ht="15" customHeight="1">
      <c r="A51" s="126"/>
      <c r="B51" s="55" t="s">
        <v>201</v>
      </c>
      <c r="C51" s="55" t="s">
        <v>202</v>
      </c>
      <c r="D51" s="56">
        <v>40</v>
      </c>
      <c r="E51" s="55" t="s">
        <v>111</v>
      </c>
      <c r="F51" s="56">
        <v>9</v>
      </c>
      <c r="G51" s="57" t="s">
        <v>190</v>
      </c>
      <c r="H51" s="56">
        <v>6</v>
      </c>
      <c r="I51" s="58">
        <v>1</v>
      </c>
      <c r="J51" s="58">
        <v>9</v>
      </c>
      <c r="K51" s="59">
        <f t="shared" si="0"/>
        <v>9</v>
      </c>
      <c r="L51" s="127"/>
    </row>
    <row r="52" spans="1:12" ht="15" customHeight="1">
      <c r="A52" s="126"/>
      <c r="B52" s="55" t="s">
        <v>203</v>
      </c>
      <c r="C52" s="55" t="s">
        <v>204</v>
      </c>
      <c r="D52" s="56">
        <v>41</v>
      </c>
      <c r="E52" s="55" t="s">
        <v>111</v>
      </c>
      <c r="F52" s="56">
        <v>23</v>
      </c>
      <c r="G52" s="57" t="s">
        <v>190</v>
      </c>
      <c r="H52" s="56">
        <v>7</v>
      </c>
      <c r="I52" s="58">
        <v>1</v>
      </c>
      <c r="J52" s="58">
        <v>9</v>
      </c>
      <c r="K52" s="59">
        <f t="shared" si="0"/>
        <v>9</v>
      </c>
      <c r="L52" s="127"/>
    </row>
    <row r="53" spans="1:12" ht="15" customHeight="1">
      <c r="A53" s="126"/>
      <c r="B53" s="55" t="s">
        <v>205</v>
      </c>
      <c r="C53" s="55" t="s">
        <v>206</v>
      </c>
      <c r="D53" s="56">
        <v>42</v>
      </c>
      <c r="E53" s="55" t="s">
        <v>115</v>
      </c>
      <c r="F53" s="56">
        <v>24</v>
      </c>
      <c r="G53" s="57" t="s">
        <v>190</v>
      </c>
      <c r="H53" s="56">
        <v>7</v>
      </c>
      <c r="I53" s="58">
        <v>1</v>
      </c>
      <c r="J53" s="58">
        <v>9</v>
      </c>
      <c r="K53" s="59">
        <f t="shared" si="0"/>
        <v>9</v>
      </c>
      <c r="L53" s="127"/>
    </row>
    <row r="54" spans="1:12" ht="15" customHeight="1">
      <c r="A54" s="126"/>
      <c r="B54" s="55" t="s">
        <v>207</v>
      </c>
      <c r="C54" s="55" t="s">
        <v>208</v>
      </c>
      <c r="D54" s="56">
        <v>43</v>
      </c>
      <c r="E54" s="55" t="s">
        <v>118</v>
      </c>
      <c r="F54" s="56">
        <v>25</v>
      </c>
      <c r="G54" s="57" t="s">
        <v>190</v>
      </c>
      <c r="H54" s="56">
        <v>7</v>
      </c>
      <c r="I54" s="58">
        <v>1</v>
      </c>
      <c r="J54" s="58">
        <v>9</v>
      </c>
      <c r="K54" s="59">
        <f t="shared" si="0"/>
        <v>9</v>
      </c>
      <c r="L54" s="127"/>
    </row>
    <row r="55" spans="1:12" ht="15" customHeight="1">
      <c r="A55" s="126"/>
      <c r="B55" s="55" t="s">
        <v>209</v>
      </c>
      <c r="C55" s="55" t="s">
        <v>210</v>
      </c>
      <c r="D55" s="56">
        <v>44</v>
      </c>
      <c r="E55" s="55" t="s">
        <v>121</v>
      </c>
      <c r="F55" s="56">
        <v>26</v>
      </c>
      <c r="G55" s="57" t="s">
        <v>190</v>
      </c>
      <c r="H55" s="56">
        <v>7</v>
      </c>
      <c r="I55" s="58">
        <v>1</v>
      </c>
      <c r="J55" s="58">
        <v>9</v>
      </c>
      <c r="K55" s="59">
        <f t="shared" si="0"/>
        <v>9</v>
      </c>
      <c r="L55" s="127"/>
    </row>
    <row r="56" spans="1:12" ht="15" customHeight="1">
      <c r="A56" s="126"/>
      <c r="B56" s="55" t="s">
        <v>211</v>
      </c>
      <c r="C56" s="55" t="s">
        <v>212</v>
      </c>
      <c r="D56" s="56">
        <v>45</v>
      </c>
      <c r="E56" s="55" t="s">
        <v>124</v>
      </c>
      <c r="F56" s="56">
        <v>27</v>
      </c>
      <c r="G56" s="57" t="s">
        <v>190</v>
      </c>
      <c r="H56" s="56">
        <v>7</v>
      </c>
      <c r="I56" s="58">
        <v>1</v>
      </c>
      <c r="J56" s="58">
        <v>9</v>
      </c>
      <c r="K56" s="59">
        <f t="shared" si="0"/>
        <v>9</v>
      </c>
      <c r="L56" s="127"/>
    </row>
    <row r="57" spans="1:12" ht="15" customHeight="1">
      <c r="A57" s="126"/>
      <c r="B57" s="55" t="s">
        <v>213</v>
      </c>
      <c r="C57" s="55" t="s">
        <v>214</v>
      </c>
      <c r="D57" s="56">
        <v>46</v>
      </c>
      <c r="E57" s="55" t="s">
        <v>127</v>
      </c>
      <c r="F57" s="56">
        <v>28</v>
      </c>
      <c r="G57" s="57" t="s">
        <v>190</v>
      </c>
      <c r="H57" s="56">
        <v>7</v>
      </c>
      <c r="I57" s="58">
        <v>1</v>
      </c>
      <c r="J57" s="58">
        <v>9</v>
      </c>
      <c r="K57" s="59">
        <f t="shared" si="0"/>
        <v>9</v>
      </c>
      <c r="L57" s="127"/>
    </row>
    <row r="58" spans="1:12" ht="15" customHeight="1">
      <c r="A58" s="126"/>
      <c r="B58" s="55" t="s">
        <v>215</v>
      </c>
      <c r="C58" s="55" t="s">
        <v>216</v>
      </c>
      <c r="D58" s="56">
        <v>47</v>
      </c>
      <c r="E58" s="55" t="s">
        <v>111</v>
      </c>
      <c r="F58" s="56">
        <v>30</v>
      </c>
      <c r="G58" s="57" t="s">
        <v>190</v>
      </c>
      <c r="H58" s="56">
        <v>7</v>
      </c>
      <c r="I58" s="58">
        <v>1</v>
      </c>
      <c r="J58" s="58">
        <v>9</v>
      </c>
      <c r="K58" s="59">
        <f t="shared" si="0"/>
        <v>9</v>
      </c>
      <c r="L58" s="127"/>
    </row>
    <row r="59" spans="1:12" ht="15" customHeight="1">
      <c r="A59" s="126"/>
      <c r="B59" s="55" t="s">
        <v>217</v>
      </c>
      <c r="C59" s="55" t="s">
        <v>218</v>
      </c>
      <c r="D59" s="56">
        <v>48</v>
      </c>
      <c r="E59" s="55" t="s">
        <v>111</v>
      </c>
      <c r="F59" s="56">
        <v>14</v>
      </c>
      <c r="G59" s="57" t="s">
        <v>219</v>
      </c>
      <c r="H59" s="56">
        <v>8</v>
      </c>
      <c r="I59" s="58">
        <v>1</v>
      </c>
      <c r="J59" s="58">
        <v>9</v>
      </c>
      <c r="K59" s="59">
        <f t="shared" si="0"/>
        <v>9</v>
      </c>
      <c r="L59" s="127"/>
    </row>
    <row r="60" spans="1:12" ht="15" customHeight="1">
      <c r="A60" s="126"/>
      <c r="B60" s="55" t="s">
        <v>220</v>
      </c>
      <c r="C60" s="55" t="s">
        <v>221</v>
      </c>
      <c r="D60" s="56">
        <v>49</v>
      </c>
      <c r="E60" s="55" t="s">
        <v>115</v>
      </c>
      <c r="F60" s="56">
        <v>15</v>
      </c>
      <c r="G60" s="57" t="s">
        <v>219</v>
      </c>
      <c r="H60" s="56">
        <v>8</v>
      </c>
      <c r="I60" s="58">
        <v>1</v>
      </c>
      <c r="J60" s="58">
        <v>9</v>
      </c>
      <c r="K60" s="59">
        <f t="shared" si="0"/>
        <v>9</v>
      </c>
      <c r="L60" s="127"/>
    </row>
    <row r="61" spans="1:12" ht="15" customHeight="1">
      <c r="A61" s="126"/>
      <c r="B61" s="55" t="s">
        <v>222</v>
      </c>
      <c r="C61" s="55" t="s">
        <v>223</v>
      </c>
      <c r="D61" s="56">
        <v>50</v>
      </c>
      <c r="E61" s="55" t="s">
        <v>118</v>
      </c>
      <c r="F61" s="56">
        <v>16</v>
      </c>
      <c r="G61" s="57" t="s">
        <v>219</v>
      </c>
      <c r="H61" s="56">
        <v>8</v>
      </c>
      <c r="I61" s="58">
        <v>1</v>
      </c>
      <c r="J61" s="58">
        <v>9</v>
      </c>
      <c r="K61" s="59">
        <f t="shared" si="0"/>
        <v>9</v>
      </c>
      <c r="L61" s="127"/>
    </row>
    <row r="62" spans="1:12" ht="15" customHeight="1">
      <c r="A62" s="114" t="s">
        <v>224</v>
      </c>
      <c r="B62" s="76" t="s">
        <v>225</v>
      </c>
      <c r="C62" s="76" t="s">
        <v>226</v>
      </c>
      <c r="D62" s="77">
        <v>51</v>
      </c>
      <c r="E62" s="76" t="s">
        <v>121</v>
      </c>
      <c r="F62" s="77">
        <v>17</v>
      </c>
      <c r="G62" s="78" t="s">
        <v>219</v>
      </c>
      <c r="H62" s="77">
        <v>8</v>
      </c>
      <c r="I62" s="79">
        <v>1</v>
      </c>
      <c r="J62" s="79">
        <v>9</v>
      </c>
      <c r="K62" s="80">
        <f t="shared" si="0"/>
        <v>9</v>
      </c>
      <c r="L62" s="116">
        <f>SUM(K62:K65)</f>
        <v>36</v>
      </c>
    </row>
    <row r="63" spans="1:12" ht="15" customHeight="1">
      <c r="A63" s="115"/>
      <c r="B63" s="76" t="s">
        <v>227</v>
      </c>
      <c r="C63" s="76" t="s">
        <v>228</v>
      </c>
      <c r="D63" s="77">
        <v>52</v>
      </c>
      <c r="E63" s="76" t="s">
        <v>124</v>
      </c>
      <c r="F63" s="77">
        <v>18</v>
      </c>
      <c r="G63" s="78" t="s">
        <v>219</v>
      </c>
      <c r="H63" s="77">
        <v>8</v>
      </c>
      <c r="I63" s="79">
        <v>1</v>
      </c>
      <c r="J63" s="79">
        <v>9</v>
      </c>
      <c r="K63" s="80">
        <f t="shared" si="0"/>
        <v>9</v>
      </c>
      <c r="L63" s="117"/>
    </row>
    <row r="64" spans="1:12" ht="15" customHeight="1">
      <c r="A64" s="115"/>
      <c r="B64" s="76" t="s">
        <v>229</v>
      </c>
      <c r="C64" s="76" t="s">
        <v>230</v>
      </c>
      <c r="D64" s="77">
        <v>53</v>
      </c>
      <c r="E64" s="76" t="s">
        <v>127</v>
      </c>
      <c r="F64" s="77">
        <v>19</v>
      </c>
      <c r="G64" s="78" t="s">
        <v>219</v>
      </c>
      <c r="H64" s="77">
        <v>8</v>
      </c>
      <c r="I64" s="79">
        <v>1</v>
      </c>
      <c r="J64" s="79">
        <v>9</v>
      </c>
      <c r="K64" s="80">
        <f t="shared" si="0"/>
        <v>9</v>
      </c>
      <c r="L64" s="117"/>
    </row>
    <row r="65" spans="1:12" ht="15" customHeight="1">
      <c r="A65" s="115"/>
      <c r="B65" s="76" t="s">
        <v>231</v>
      </c>
      <c r="C65" s="76" t="s">
        <v>232</v>
      </c>
      <c r="D65" s="77">
        <v>54</v>
      </c>
      <c r="E65" s="76" t="s">
        <v>111</v>
      </c>
      <c r="F65" s="77">
        <v>21</v>
      </c>
      <c r="G65" s="78" t="s">
        <v>219</v>
      </c>
      <c r="H65" s="77">
        <v>8</v>
      </c>
      <c r="I65" s="79">
        <v>1</v>
      </c>
      <c r="J65" s="79">
        <v>9</v>
      </c>
      <c r="K65" s="80">
        <f t="shared" si="0"/>
        <v>9</v>
      </c>
      <c r="L65" s="117"/>
    </row>
    <row r="66" spans="1:12" s="54" customFormat="1" ht="27.6" customHeight="1">
      <c r="A66" s="81" t="s">
        <v>233</v>
      </c>
      <c r="B66" s="81"/>
      <c r="C66" s="81"/>
      <c r="D66" s="82"/>
      <c r="E66" s="82"/>
      <c r="F66" s="82"/>
      <c r="G66" s="82"/>
      <c r="H66" s="82"/>
      <c r="I66" s="83">
        <f>SUM(I12:I65)</f>
        <v>54</v>
      </c>
      <c r="J66" s="83"/>
      <c r="K66" s="83">
        <f>SUM(K12:K65)</f>
        <v>486</v>
      </c>
      <c r="L66" s="83">
        <f>SUM(L12:L65)</f>
        <v>486</v>
      </c>
    </row>
    <row r="67" spans="1:12" ht="13.8">
      <c r="A67" s="84"/>
      <c r="B67" s="44"/>
      <c r="C67" s="85"/>
      <c r="D67" s="85"/>
      <c r="E67" s="85"/>
      <c r="F67" s="85"/>
      <c r="G67" s="85"/>
      <c r="H67" s="85"/>
      <c r="I67" s="85"/>
      <c r="J67" s="85"/>
      <c r="K67" s="85"/>
      <c r="L67" s="85"/>
    </row>
    <row r="68" spans="1:12" ht="13.8">
      <c r="A68" s="84"/>
      <c r="B68" s="44"/>
      <c r="C68" s="85"/>
      <c r="D68" s="85"/>
      <c r="E68" s="85"/>
      <c r="F68" s="85"/>
      <c r="G68" s="85"/>
      <c r="H68" s="85"/>
      <c r="I68" s="85"/>
      <c r="J68" s="85"/>
      <c r="K68" s="85"/>
      <c r="L68" s="85"/>
    </row>
    <row r="69" spans="1:12" ht="13.8">
      <c r="A69" s="84"/>
      <c r="B69" s="44"/>
      <c r="C69" s="85"/>
      <c r="D69" s="85"/>
      <c r="E69" s="85"/>
      <c r="F69" s="85"/>
      <c r="G69" s="85"/>
      <c r="H69" s="85"/>
      <c r="I69" s="85"/>
      <c r="J69" s="85"/>
      <c r="K69" s="85"/>
      <c r="L69" s="85"/>
    </row>
    <row r="70" spans="1:12" ht="13.8">
      <c r="A70" s="84"/>
      <c r="B70" s="44"/>
      <c r="C70" s="85"/>
      <c r="D70" s="85"/>
      <c r="E70" s="85"/>
      <c r="F70" s="85"/>
      <c r="G70" s="85"/>
      <c r="H70" s="85"/>
      <c r="I70" s="85"/>
      <c r="J70" s="85"/>
      <c r="K70" s="85"/>
      <c r="L70" s="85"/>
    </row>
    <row r="71" spans="1:12" ht="69" customHeight="1">
      <c r="A71" s="84"/>
      <c r="B71" s="44"/>
      <c r="C71" s="85"/>
      <c r="D71" s="85"/>
      <c r="E71" s="85"/>
      <c r="F71" s="85"/>
      <c r="G71" s="85"/>
      <c r="H71" s="85"/>
      <c r="I71" s="85"/>
      <c r="J71" s="85"/>
      <c r="K71" s="85"/>
      <c r="L71" s="85"/>
    </row>
    <row r="72" spans="1:12" ht="60.6" customHeight="1">
      <c r="A72" s="84"/>
      <c r="B72" s="44"/>
      <c r="C72" s="85"/>
      <c r="D72" s="85"/>
      <c r="E72" s="85"/>
      <c r="F72" s="85"/>
      <c r="G72" s="85"/>
      <c r="H72" s="85"/>
      <c r="I72" s="85"/>
      <c r="J72" s="85"/>
      <c r="K72" s="85"/>
      <c r="L72" s="85"/>
    </row>
    <row r="73" spans="1:12" ht="49.2" customHeight="1">
      <c r="A73" s="49" t="s">
        <v>3</v>
      </c>
      <c r="B73" s="49" t="s">
        <v>96</v>
      </c>
      <c r="C73" s="49" t="s">
        <v>97</v>
      </c>
      <c r="D73" s="50" t="s">
        <v>234</v>
      </c>
      <c r="E73" s="49" t="s">
        <v>99</v>
      </c>
      <c r="F73" s="50" t="s">
        <v>100</v>
      </c>
      <c r="G73" s="50" t="s">
        <v>101</v>
      </c>
      <c r="H73" s="50" t="s">
        <v>102</v>
      </c>
      <c r="I73" s="50" t="s">
        <v>103</v>
      </c>
      <c r="J73" s="49" t="s">
        <v>104</v>
      </c>
      <c r="K73" s="50" t="s">
        <v>105</v>
      </c>
      <c r="L73" s="49" t="s">
        <v>106</v>
      </c>
    </row>
    <row r="74" spans="1:12" s="54" customFormat="1" ht="32.4" customHeight="1">
      <c r="A74" s="86" t="s">
        <v>235</v>
      </c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8"/>
    </row>
    <row r="75" spans="1:12" ht="13.35" customHeight="1">
      <c r="A75" s="112" t="s">
        <v>236</v>
      </c>
      <c r="B75" s="89" t="s">
        <v>237</v>
      </c>
      <c r="C75" s="89" t="s">
        <v>238</v>
      </c>
      <c r="D75" s="90">
        <v>1</v>
      </c>
      <c r="E75" s="89" t="s">
        <v>115</v>
      </c>
      <c r="F75" s="90">
        <v>6</v>
      </c>
      <c r="G75" s="91" t="s">
        <v>239</v>
      </c>
      <c r="H75" s="90">
        <v>1</v>
      </c>
      <c r="I75" s="92">
        <v>1</v>
      </c>
      <c r="J75" s="92">
        <v>9</v>
      </c>
      <c r="K75" s="93">
        <f>I75*J75</f>
        <v>9</v>
      </c>
      <c r="L75" s="113">
        <f>SUM(K75:K103)</f>
        <v>261</v>
      </c>
    </row>
    <row r="76" spans="1:12" ht="13.2" customHeight="1">
      <c r="A76" s="112"/>
      <c r="B76" s="89" t="s">
        <v>240</v>
      </c>
      <c r="C76" s="89" t="s">
        <v>241</v>
      </c>
      <c r="D76" s="90">
        <v>2</v>
      </c>
      <c r="E76" s="89" t="s">
        <v>118</v>
      </c>
      <c r="F76" s="90">
        <v>7</v>
      </c>
      <c r="G76" s="91" t="s">
        <v>239</v>
      </c>
      <c r="H76" s="90">
        <v>1</v>
      </c>
      <c r="I76" s="92">
        <v>1</v>
      </c>
      <c r="J76" s="92">
        <v>9</v>
      </c>
      <c r="K76" s="93">
        <f t="shared" ref="K76:K103" si="1">I76*J76</f>
        <v>9</v>
      </c>
      <c r="L76" s="113"/>
    </row>
    <row r="77" spans="1:12" ht="13.2" customHeight="1">
      <c r="A77" s="112"/>
      <c r="B77" s="89" t="s">
        <v>242</v>
      </c>
      <c r="C77" s="89" t="s">
        <v>243</v>
      </c>
      <c r="D77" s="90">
        <v>3</v>
      </c>
      <c r="E77" s="89" t="s">
        <v>121</v>
      </c>
      <c r="F77" s="90">
        <v>8</v>
      </c>
      <c r="G77" s="91" t="s">
        <v>239</v>
      </c>
      <c r="H77" s="90">
        <v>1</v>
      </c>
      <c r="I77" s="92">
        <v>1</v>
      </c>
      <c r="J77" s="92">
        <v>9</v>
      </c>
      <c r="K77" s="93">
        <f t="shared" si="1"/>
        <v>9</v>
      </c>
      <c r="L77" s="113"/>
    </row>
    <row r="78" spans="1:12" ht="13.2" customHeight="1">
      <c r="A78" s="112"/>
      <c r="B78" s="89" t="s">
        <v>244</v>
      </c>
      <c r="C78" s="89" t="s">
        <v>245</v>
      </c>
      <c r="D78" s="90">
        <v>4</v>
      </c>
      <c r="E78" s="89" t="s">
        <v>124</v>
      </c>
      <c r="F78" s="90">
        <v>9</v>
      </c>
      <c r="G78" s="91" t="s">
        <v>239</v>
      </c>
      <c r="H78" s="90">
        <v>1</v>
      </c>
      <c r="I78" s="92">
        <v>1</v>
      </c>
      <c r="J78" s="92">
        <v>9</v>
      </c>
      <c r="K78" s="93">
        <f t="shared" si="1"/>
        <v>9</v>
      </c>
      <c r="L78" s="113"/>
    </row>
    <row r="79" spans="1:12" ht="13.2" customHeight="1">
      <c r="A79" s="112"/>
      <c r="B79" s="89" t="s">
        <v>246</v>
      </c>
      <c r="C79" s="89" t="s">
        <v>247</v>
      </c>
      <c r="D79" s="90">
        <v>5</v>
      </c>
      <c r="E79" s="89" t="s">
        <v>127</v>
      </c>
      <c r="F79" s="90">
        <v>10</v>
      </c>
      <c r="G79" s="91" t="s">
        <v>239</v>
      </c>
      <c r="H79" s="90">
        <v>1</v>
      </c>
      <c r="I79" s="92">
        <v>1</v>
      </c>
      <c r="J79" s="92">
        <v>9</v>
      </c>
      <c r="K79" s="93">
        <f t="shared" si="1"/>
        <v>9</v>
      </c>
      <c r="L79" s="113"/>
    </row>
    <row r="80" spans="1:12" ht="13.2" customHeight="1">
      <c r="A80" s="112"/>
      <c r="B80" s="89" t="s">
        <v>248</v>
      </c>
      <c r="C80" s="89" t="s">
        <v>249</v>
      </c>
      <c r="D80" s="90">
        <v>6</v>
      </c>
      <c r="E80" s="89" t="s">
        <v>111</v>
      </c>
      <c r="F80" s="90">
        <v>12</v>
      </c>
      <c r="G80" s="91" t="s">
        <v>239</v>
      </c>
      <c r="H80" s="90">
        <v>1</v>
      </c>
      <c r="I80" s="92">
        <v>1</v>
      </c>
      <c r="J80" s="92">
        <v>9</v>
      </c>
      <c r="K80" s="93">
        <f t="shared" si="1"/>
        <v>9</v>
      </c>
      <c r="L80" s="113"/>
    </row>
    <row r="81" spans="1:12" ht="13.2" customHeight="1">
      <c r="A81" s="112"/>
      <c r="B81" s="89" t="s">
        <v>250</v>
      </c>
      <c r="C81" s="89" t="s">
        <v>251</v>
      </c>
      <c r="D81" s="90">
        <v>7</v>
      </c>
      <c r="E81" s="89" t="s">
        <v>115</v>
      </c>
      <c r="F81" s="90">
        <v>13</v>
      </c>
      <c r="G81" s="91" t="s">
        <v>239</v>
      </c>
      <c r="H81" s="90">
        <v>1</v>
      </c>
      <c r="I81" s="92">
        <v>1</v>
      </c>
      <c r="J81" s="92">
        <v>9</v>
      </c>
      <c r="K81" s="93">
        <f t="shared" si="1"/>
        <v>9</v>
      </c>
      <c r="L81" s="113"/>
    </row>
    <row r="82" spans="1:12" ht="13.2" customHeight="1">
      <c r="A82" s="112"/>
      <c r="B82" s="89" t="s">
        <v>252</v>
      </c>
      <c r="C82" s="89" t="s">
        <v>253</v>
      </c>
      <c r="D82" s="90">
        <v>8</v>
      </c>
      <c r="E82" s="89" t="s">
        <v>111</v>
      </c>
      <c r="F82" s="90">
        <v>16</v>
      </c>
      <c r="G82" s="91" t="s">
        <v>254</v>
      </c>
      <c r="H82" s="90">
        <v>2</v>
      </c>
      <c r="I82" s="92">
        <v>1</v>
      </c>
      <c r="J82" s="92">
        <v>9</v>
      </c>
      <c r="K82" s="93">
        <f t="shared" si="1"/>
        <v>9</v>
      </c>
      <c r="L82" s="113"/>
    </row>
    <row r="83" spans="1:12" ht="13.2" customHeight="1">
      <c r="A83" s="112"/>
      <c r="B83" s="89" t="s">
        <v>255</v>
      </c>
      <c r="C83" s="89" t="s">
        <v>256</v>
      </c>
      <c r="D83" s="90">
        <v>9</v>
      </c>
      <c r="E83" s="89" t="s">
        <v>115</v>
      </c>
      <c r="F83" s="90">
        <v>17</v>
      </c>
      <c r="G83" s="91" t="s">
        <v>254</v>
      </c>
      <c r="H83" s="90">
        <v>2</v>
      </c>
      <c r="I83" s="92">
        <v>1</v>
      </c>
      <c r="J83" s="92">
        <v>9</v>
      </c>
      <c r="K83" s="93">
        <f t="shared" si="1"/>
        <v>9</v>
      </c>
      <c r="L83" s="113"/>
    </row>
    <row r="84" spans="1:12" ht="13.2" customHeight="1">
      <c r="A84" s="112"/>
      <c r="B84" s="89" t="s">
        <v>257</v>
      </c>
      <c r="C84" s="89" t="s">
        <v>258</v>
      </c>
      <c r="D84" s="90">
        <v>10</v>
      </c>
      <c r="E84" s="89" t="s">
        <v>118</v>
      </c>
      <c r="F84" s="90">
        <v>18</v>
      </c>
      <c r="G84" s="91" t="s">
        <v>254</v>
      </c>
      <c r="H84" s="90">
        <v>2</v>
      </c>
      <c r="I84" s="92">
        <v>1</v>
      </c>
      <c r="J84" s="92">
        <v>9</v>
      </c>
      <c r="K84" s="93">
        <f t="shared" si="1"/>
        <v>9</v>
      </c>
      <c r="L84" s="113"/>
    </row>
    <row r="85" spans="1:12" ht="13.2" customHeight="1">
      <c r="A85" s="112"/>
      <c r="B85" s="89" t="s">
        <v>259</v>
      </c>
      <c r="C85" s="89" t="s">
        <v>260</v>
      </c>
      <c r="D85" s="90">
        <v>11</v>
      </c>
      <c r="E85" s="89" t="s">
        <v>121</v>
      </c>
      <c r="F85" s="90">
        <v>19</v>
      </c>
      <c r="G85" s="91" t="s">
        <v>254</v>
      </c>
      <c r="H85" s="90">
        <v>2</v>
      </c>
      <c r="I85" s="92">
        <v>1</v>
      </c>
      <c r="J85" s="92">
        <v>9</v>
      </c>
      <c r="K85" s="93">
        <f t="shared" si="1"/>
        <v>9</v>
      </c>
      <c r="L85" s="113"/>
    </row>
    <row r="86" spans="1:12" ht="13.2" customHeight="1">
      <c r="A86" s="112"/>
      <c r="B86" s="89" t="s">
        <v>261</v>
      </c>
      <c r="C86" s="89" t="s">
        <v>262</v>
      </c>
      <c r="D86" s="90">
        <v>12</v>
      </c>
      <c r="E86" s="89" t="s">
        <v>124</v>
      </c>
      <c r="F86" s="90">
        <v>20</v>
      </c>
      <c r="G86" s="91" t="s">
        <v>254</v>
      </c>
      <c r="H86" s="90">
        <v>2</v>
      </c>
      <c r="I86" s="92">
        <v>1</v>
      </c>
      <c r="J86" s="92">
        <v>9</v>
      </c>
      <c r="K86" s="93">
        <f t="shared" si="1"/>
        <v>9</v>
      </c>
      <c r="L86" s="113"/>
    </row>
    <row r="87" spans="1:12" ht="13.2" customHeight="1">
      <c r="A87" s="112"/>
      <c r="B87" s="89" t="s">
        <v>263</v>
      </c>
      <c r="C87" s="89" t="s">
        <v>264</v>
      </c>
      <c r="D87" s="90">
        <v>13</v>
      </c>
      <c r="E87" s="89" t="s">
        <v>127</v>
      </c>
      <c r="F87" s="90">
        <v>21</v>
      </c>
      <c r="G87" s="91" t="s">
        <v>254</v>
      </c>
      <c r="H87" s="90">
        <v>2</v>
      </c>
      <c r="I87" s="92">
        <v>1</v>
      </c>
      <c r="J87" s="92">
        <v>9</v>
      </c>
      <c r="K87" s="93">
        <f t="shared" si="1"/>
        <v>9</v>
      </c>
      <c r="L87" s="113"/>
    </row>
    <row r="88" spans="1:12" ht="13.2" customHeight="1">
      <c r="A88" s="112"/>
      <c r="B88" s="89" t="s">
        <v>265</v>
      </c>
      <c r="C88" s="89" t="s">
        <v>266</v>
      </c>
      <c r="D88" s="90">
        <v>14</v>
      </c>
      <c r="E88" s="89" t="s">
        <v>111</v>
      </c>
      <c r="F88" s="90">
        <v>23</v>
      </c>
      <c r="G88" s="91" t="s">
        <v>254</v>
      </c>
      <c r="H88" s="90">
        <v>2</v>
      </c>
      <c r="I88" s="92">
        <v>1</v>
      </c>
      <c r="J88" s="92">
        <v>9</v>
      </c>
      <c r="K88" s="93">
        <f t="shared" si="1"/>
        <v>9</v>
      </c>
      <c r="L88" s="113"/>
    </row>
    <row r="89" spans="1:12" ht="15" customHeight="1">
      <c r="A89" s="112"/>
      <c r="B89" s="89" t="s">
        <v>267</v>
      </c>
      <c r="C89" s="89" t="s">
        <v>268</v>
      </c>
      <c r="D89" s="90">
        <v>15</v>
      </c>
      <c r="E89" s="89" t="s">
        <v>111</v>
      </c>
      <c r="F89" s="90">
        <v>6</v>
      </c>
      <c r="G89" s="91" t="s">
        <v>269</v>
      </c>
      <c r="H89" s="90">
        <v>3</v>
      </c>
      <c r="I89" s="92">
        <v>1</v>
      </c>
      <c r="J89" s="92">
        <v>9</v>
      </c>
      <c r="K89" s="93">
        <f t="shared" si="1"/>
        <v>9</v>
      </c>
      <c r="L89" s="113"/>
    </row>
    <row r="90" spans="1:12" ht="15" customHeight="1">
      <c r="A90" s="112"/>
      <c r="B90" s="89" t="s">
        <v>270</v>
      </c>
      <c r="C90" s="89" t="s">
        <v>271</v>
      </c>
      <c r="D90" s="90">
        <v>16</v>
      </c>
      <c r="E90" s="89" t="s">
        <v>115</v>
      </c>
      <c r="F90" s="90">
        <v>7</v>
      </c>
      <c r="G90" s="91" t="s">
        <v>269</v>
      </c>
      <c r="H90" s="90">
        <v>3</v>
      </c>
      <c r="I90" s="92">
        <v>1</v>
      </c>
      <c r="J90" s="92">
        <v>9</v>
      </c>
      <c r="K90" s="93">
        <f t="shared" si="1"/>
        <v>9</v>
      </c>
      <c r="L90" s="113"/>
    </row>
    <row r="91" spans="1:12" ht="15" customHeight="1">
      <c r="A91" s="112"/>
      <c r="B91" s="89" t="s">
        <v>272</v>
      </c>
      <c r="C91" s="89" t="s">
        <v>273</v>
      </c>
      <c r="D91" s="90">
        <v>17</v>
      </c>
      <c r="E91" s="89" t="s">
        <v>118</v>
      </c>
      <c r="F91" s="90">
        <v>8</v>
      </c>
      <c r="G91" s="91" t="s">
        <v>269</v>
      </c>
      <c r="H91" s="90">
        <v>3</v>
      </c>
      <c r="I91" s="92">
        <v>1</v>
      </c>
      <c r="J91" s="92">
        <v>9</v>
      </c>
      <c r="K91" s="93">
        <f t="shared" si="1"/>
        <v>9</v>
      </c>
      <c r="L91" s="113"/>
    </row>
    <row r="92" spans="1:12" ht="15" customHeight="1">
      <c r="A92" s="112"/>
      <c r="B92" s="89" t="s">
        <v>274</v>
      </c>
      <c r="C92" s="89" t="s">
        <v>275</v>
      </c>
      <c r="D92" s="90">
        <v>18</v>
      </c>
      <c r="E92" s="89" t="s">
        <v>121</v>
      </c>
      <c r="F92" s="90">
        <v>9</v>
      </c>
      <c r="G92" s="91" t="s">
        <v>269</v>
      </c>
      <c r="H92" s="90">
        <v>3</v>
      </c>
      <c r="I92" s="92">
        <v>1</v>
      </c>
      <c r="J92" s="92">
        <v>9</v>
      </c>
      <c r="K92" s="93">
        <f t="shared" si="1"/>
        <v>9</v>
      </c>
      <c r="L92" s="113"/>
    </row>
    <row r="93" spans="1:12" ht="15" customHeight="1">
      <c r="A93" s="112"/>
      <c r="B93" s="89" t="s">
        <v>276</v>
      </c>
      <c r="C93" s="89" t="s">
        <v>277</v>
      </c>
      <c r="D93" s="90">
        <v>19</v>
      </c>
      <c r="E93" s="89" t="s">
        <v>124</v>
      </c>
      <c r="F93" s="90">
        <v>10</v>
      </c>
      <c r="G93" s="91" t="s">
        <v>269</v>
      </c>
      <c r="H93" s="90">
        <v>3</v>
      </c>
      <c r="I93" s="92">
        <v>1</v>
      </c>
      <c r="J93" s="92">
        <v>9</v>
      </c>
      <c r="K93" s="93">
        <f t="shared" si="1"/>
        <v>9</v>
      </c>
      <c r="L93" s="113"/>
    </row>
    <row r="94" spans="1:12" ht="15" customHeight="1">
      <c r="A94" s="112"/>
      <c r="B94" s="89" t="s">
        <v>278</v>
      </c>
      <c r="C94" s="89" t="s">
        <v>279</v>
      </c>
      <c r="D94" s="90">
        <v>20</v>
      </c>
      <c r="E94" s="89" t="s">
        <v>127</v>
      </c>
      <c r="F94" s="90">
        <v>11</v>
      </c>
      <c r="G94" s="91" t="s">
        <v>269</v>
      </c>
      <c r="H94" s="90">
        <v>3</v>
      </c>
      <c r="I94" s="92">
        <v>1</v>
      </c>
      <c r="J94" s="92">
        <v>9</v>
      </c>
      <c r="K94" s="93">
        <f t="shared" si="1"/>
        <v>9</v>
      </c>
      <c r="L94" s="113"/>
    </row>
    <row r="95" spans="1:12" ht="15" customHeight="1">
      <c r="A95" s="112"/>
      <c r="B95" s="89" t="s">
        <v>280</v>
      </c>
      <c r="C95" s="89" t="s">
        <v>281</v>
      </c>
      <c r="D95" s="90">
        <v>21</v>
      </c>
      <c r="E95" s="89" t="s">
        <v>111</v>
      </c>
      <c r="F95" s="90">
        <v>13</v>
      </c>
      <c r="G95" s="91" t="s">
        <v>269</v>
      </c>
      <c r="H95" s="90">
        <v>3</v>
      </c>
      <c r="I95" s="92">
        <v>1</v>
      </c>
      <c r="J95" s="92">
        <v>9</v>
      </c>
      <c r="K95" s="93">
        <f t="shared" si="1"/>
        <v>9</v>
      </c>
      <c r="L95" s="113"/>
    </row>
    <row r="96" spans="1:12" ht="15" customHeight="1">
      <c r="A96" s="112"/>
      <c r="B96" s="89" t="s">
        <v>282</v>
      </c>
      <c r="C96" s="89" t="s">
        <v>283</v>
      </c>
      <c r="D96" s="90">
        <v>22</v>
      </c>
      <c r="E96" s="89" t="s">
        <v>111</v>
      </c>
      <c r="F96" s="90">
        <v>27</v>
      </c>
      <c r="G96" s="91" t="s">
        <v>269</v>
      </c>
      <c r="H96" s="90">
        <v>4</v>
      </c>
      <c r="I96" s="92">
        <v>1</v>
      </c>
      <c r="J96" s="92">
        <v>9</v>
      </c>
      <c r="K96" s="93">
        <f t="shared" si="1"/>
        <v>9</v>
      </c>
      <c r="L96" s="113"/>
    </row>
    <row r="97" spans="1:12" ht="15" customHeight="1">
      <c r="A97" s="112"/>
      <c r="B97" s="89" t="s">
        <v>284</v>
      </c>
      <c r="C97" s="89" t="s">
        <v>285</v>
      </c>
      <c r="D97" s="90">
        <v>23</v>
      </c>
      <c r="E97" s="89" t="s">
        <v>115</v>
      </c>
      <c r="F97" s="90">
        <v>28</v>
      </c>
      <c r="G97" s="91" t="s">
        <v>269</v>
      </c>
      <c r="H97" s="90">
        <v>4</v>
      </c>
      <c r="I97" s="92">
        <v>1</v>
      </c>
      <c r="J97" s="92">
        <v>9</v>
      </c>
      <c r="K97" s="93">
        <f t="shared" si="1"/>
        <v>9</v>
      </c>
      <c r="L97" s="113"/>
    </row>
    <row r="98" spans="1:12" ht="15" customHeight="1">
      <c r="A98" s="112"/>
      <c r="B98" s="89" t="s">
        <v>286</v>
      </c>
      <c r="C98" s="89" t="s">
        <v>287</v>
      </c>
      <c r="D98" s="90">
        <v>24</v>
      </c>
      <c r="E98" s="89" t="s">
        <v>118</v>
      </c>
      <c r="F98" s="90">
        <v>29</v>
      </c>
      <c r="G98" s="91" t="s">
        <v>269</v>
      </c>
      <c r="H98" s="90">
        <v>4</v>
      </c>
      <c r="I98" s="92">
        <v>1</v>
      </c>
      <c r="J98" s="92">
        <v>9</v>
      </c>
      <c r="K98" s="93">
        <f t="shared" si="1"/>
        <v>9</v>
      </c>
      <c r="L98" s="113"/>
    </row>
    <row r="99" spans="1:12" ht="15" customHeight="1">
      <c r="A99" s="112"/>
      <c r="B99" s="89" t="s">
        <v>288</v>
      </c>
      <c r="C99" s="89" t="s">
        <v>289</v>
      </c>
      <c r="D99" s="90">
        <v>25</v>
      </c>
      <c r="E99" s="89" t="s">
        <v>121</v>
      </c>
      <c r="F99" s="90">
        <v>30</v>
      </c>
      <c r="G99" s="91" t="s">
        <v>269</v>
      </c>
      <c r="H99" s="90">
        <v>4</v>
      </c>
      <c r="I99" s="92">
        <v>1</v>
      </c>
      <c r="J99" s="92">
        <v>9</v>
      </c>
      <c r="K99" s="93">
        <f t="shared" si="1"/>
        <v>9</v>
      </c>
      <c r="L99" s="113"/>
    </row>
    <row r="100" spans="1:12" ht="15" customHeight="1">
      <c r="A100" s="112"/>
      <c r="B100" s="89" t="s">
        <v>290</v>
      </c>
      <c r="C100" s="89" t="s">
        <v>291</v>
      </c>
      <c r="D100" s="90">
        <v>26</v>
      </c>
      <c r="E100" s="89" t="s">
        <v>127</v>
      </c>
      <c r="F100" s="90">
        <v>2</v>
      </c>
      <c r="G100" s="91" t="s">
        <v>292</v>
      </c>
      <c r="H100" s="90">
        <v>4</v>
      </c>
      <c r="I100" s="92">
        <v>1</v>
      </c>
      <c r="J100" s="92">
        <v>9</v>
      </c>
      <c r="K100" s="93">
        <f t="shared" si="1"/>
        <v>9</v>
      </c>
      <c r="L100" s="113"/>
    </row>
    <row r="101" spans="1:12" ht="15" customHeight="1">
      <c r="A101" s="112"/>
      <c r="B101" s="89" t="s">
        <v>293</v>
      </c>
      <c r="C101" s="89" t="s">
        <v>294</v>
      </c>
      <c r="D101" s="90">
        <v>27</v>
      </c>
      <c r="E101" s="89" t="s">
        <v>111</v>
      </c>
      <c r="F101" s="90">
        <v>4</v>
      </c>
      <c r="G101" s="91" t="s">
        <v>292</v>
      </c>
      <c r="H101" s="90">
        <v>4</v>
      </c>
      <c r="I101" s="92">
        <v>1</v>
      </c>
      <c r="J101" s="92">
        <v>9</v>
      </c>
      <c r="K101" s="93">
        <f t="shared" si="1"/>
        <v>9</v>
      </c>
      <c r="L101" s="113"/>
    </row>
    <row r="102" spans="1:12" ht="15" customHeight="1">
      <c r="A102" s="112"/>
      <c r="B102" s="89" t="s">
        <v>295</v>
      </c>
      <c r="C102" s="89" t="s">
        <v>296</v>
      </c>
      <c r="D102" s="90">
        <v>28</v>
      </c>
      <c r="E102" s="89" t="s">
        <v>115</v>
      </c>
      <c r="F102" s="90">
        <v>5</v>
      </c>
      <c r="G102" s="91" t="s">
        <v>292</v>
      </c>
      <c r="H102" s="90">
        <v>4</v>
      </c>
      <c r="I102" s="92">
        <v>1</v>
      </c>
      <c r="J102" s="92">
        <v>9</v>
      </c>
      <c r="K102" s="93">
        <f t="shared" si="1"/>
        <v>9</v>
      </c>
      <c r="L102" s="113"/>
    </row>
    <row r="103" spans="1:12" ht="15" customHeight="1">
      <c r="A103" s="112"/>
      <c r="B103" s="89" t="s">
        <v>297</v>
      </c>
      <c r="C103" s="89" t="s">
        <v>298</v>
      </c>
      <c r="D103" s="90">
        <v>29</v>
      </c>
      <c r="E103" s="89" t="s">
        <v>118</v>
      </c>
      <c r="F103" s="90">
        <v>6</v>
      </c>
      <c r="G103" s="91" t="s">
        <v>292</v>
      </c>
      <c r="H103" s="90">
        <v>4</v>
      </c>
      <c r="I103" s="92">
        <v>1</v>
      </c>
      <c r="J103" s="92">
        <v>9</v>
      </c>
      <c r="K103" s="93">
        <f t="shared" si="1"/>
        <v>9</v>
      </c>
      <c r="L103" s="113"/>
    </row>
    <row r="104" spans="1:12" s="54" customFormat="1" ht="34.200000000000003" customHeight="1">
      <c r="A104" s="94"/>
      <c r="B104" s="95"/>
      <c r="C104" s="95"/>
      <c r="D104" s="95"/>
      <c r="E104" s="95"/>
      <c r="F104" s="95"/>
      <c r="G104" s="96"/>
      <c r="H104" s="95"/>
      <c r="I104" s="95"/>
      <c r="J104" s="95"/>
      <c r="K104" s="95"/>
      <c r="L104" s="97"/>
    </row>
    <row r="105" spans="1:12" s="54" customFormat="1" ht="44.4" customHeight="1">
      <c r="A105" s="94"/>
      <c r="B105" s="95"/>
      <c r="C105" s="95"/>
      <c r="D105" s="95"/>
      <c r="E105" s="95"/>
      <c r="F105" s="95"/>
      <c r="G105" s="96"/>
      <c r="H105" s="95"/>
      <c r="I105" s="95"/>
      <c r="J105" s="95"/>
      <c r="K105" s="95"/>
      <c r="L105" s="97"/>
    </row>
    <row r="106" spans="1:12" ht="15" customHeight="1">
      <c r="A106" s="114" t="s">
        <v>299</v>
      </c>
      <c r="B106" s="76" t="s">
        <v>300</v>
      </c>
      <c r="C106" s="76" t="s">
        <v>226</v>
      </c>
      <c r="D106" s="77">
        <v>30</v>
      </c>
      <c r="E106" s="76" t="s">
        <v>111</v>
      </c>
      <c r="F106" s="77">
        <v>18</v>
      </c>
      <c r="G106" s="78" t="s">
        <v>292</v>
      </c>
      <c r="H106" s="77">
        <v>5</v>
      </c>
      <c r="I106" s="79">
        <v>1</v>
      </c>
      <c r="J106" s="79">
        <v>9</v>
      </c>
      <c r="K106" s="80">
        <f t="shared" ref="K106:K112" si="2">I106*J106</f>
        <v>9</v>
      </c>
      <c r="L106" s="116">
        <f>SUM(K106:K109)</f>
        <v>36</v>
      </c>
    </row>
    <row r="107" spans="1:12" ht="15" customHeight="1">
      <c r="A107" s="115"/>
      <c r="B107" s="76" t="s">
        <v>301</v>
      </c>
      <c r="C107" s="76" t="s">
        <v>228</v>
      </c>
      <c r="D107" s="77">
        <v>31</v>
      </c>
      <c r="E107" s="76" t="s">
        <v>115</v>
      </c>
      <c r="F107" s="77">
        <v>19</v>
      </c>
      <c r="G107" s="78" t="s">
        <v>292</v>
      </c>
      <c r="H107" s="77">
        <v>5</v>
      </c>
      <c r="I107" s="79">
        <v>1</v>
      </c>
      <c r="J107" s="79">
        <v>9</v>
      </c>
      <c r="K107" s="80">
        <f t="shared" si="2"/>
        <v>9</v>
      </c>
      <c r="L107" s="117"/>
    </row>
    <row r="108" spans="1:12" ht="15" customHeight="1">
      <c r="A108" s="115"/>
      <c r="B108" s="76" t="s">
        <v>302</v>
      </c>
      <c r="C108" s="76" t="s">
        <v>303</v>
      </c>
      <c r="D108" s="77">
        <v>32</v>
      </c>
      <c r="E108" s="76" t="s">
        <v>118</v>
      </c>
      <c r="F108" s="77">
        <v>20</v>
      </c>
      <c r="G108" s="78" t="s">
        <v>292</v>
      </c>
      <c r="H108" s="77">
        <v>5</v>
      </c>
      <c r="I108" s="79">
        <v>1</v>
      </c>
      <c r="J108" s="79">
        <v>9</v>
      </c>
      <c r="K108" s="80">
        <f t="shared" si="2"/>
        <v>9</v>
      </c>
      <c r="L108" s="117"/>
    </row>
    <row r="109" spans="1:12" ht="15" customHeight="1">
      <c r="A109" s="115"/>
      <c r="B109" s="76" t="s">
        <v>304</v>
      </c>
      <c r="C109" s="76" t="s">
        <v>305</v>
      </c>
      <c r="D109" s="77">
        <v>33</v>
      </c>
      <c r="E109" s="76" t="s">
        <v>121</v>
      </c>
      <c r="F109" s="77">
        <v>21</v>
      </c>
      <c r="G109" s="78" t="s">
        <v>292</v>
      </c>
      <c r="H109" s="77">
        <v>5</v>
      </c>
      <c r="I109" s="79">
        <v>1</v>
      </c>
      <c r="J109" s="79">
        <v>9</v>
      </c>
      <c r="K109" s="80">
        <f t="shared" si="2"/>
        <v>9</v>
      </c>
      <c r="L109" s="117"/>
    </row>
    <row r="110" spans="1:12" ht="15" customHeight="1">
      <c r="A110" s="118" t="s">
        <v>306</v>
      </c>
      <c r="B110" s="98" t="s">
        <v>307</v>
      </c>
      <c r="C110" s="98" t="s">
        <v>308</v>
      </c>
      <c r="D110" s="99">
        <v>34</v>
      </c>
      <c r="E110" s="98" t="s">
        <v>111</v>
      </c>
      <c r="F110" s="99">
        <v>1</v>
      </c>
      <c r="G110" s="100" t="s">
        <v>309</v>
      </c>
      <c r="H110" s="99">
        <v>6</v>
      </c>
      <c r="I110" s="101">
        <v>1</v>
      </c>
      <c r="J110" s="101">
        <v>9</v>
      </c>
      <c r="K110" s="102">
        <f t="shared" si="2"/>
        <v>9</v>
      </c>
      <c r="L110" s="120">
        <f>SUM(K110:K112)</f>
        <v>27</v>
      </c>
    </row>
    <row r="111" spans="1:12" ht="15" customHeight="1">
      <c r="A111" s="119"/>
      <c r="B111" s="98" t="s">
        <v>310</v>
      </c>
      <c r="C111" s="98" t="s">
        <v>311</v>
      </c>
      <c r="D111" s="99">
        <v>35</v>
      </c>
      <c r="E111" s="98" t="s">
        <v>115</v>
      </c>
      <c r="F111" s="99">
        <v>2</v>
      </c>
      <c r="G111" s="100" t="s">
        <v>309</v>
      </c>
      <c r="H111" s="99">
        <v>6</v>
      </c>
      <c r="I111" s="101">
        <v>1</v>
      </c>
      <c r="J111" s="101">
        <v>9</v>
      </c>
      <c r="K111" s="102">
        <f t="shared" si="2"/>
        <v>9</v>
      </c>
      <c r="L111" s="121"/>
    </row>
    <row r="112" spans="1:12" ht="15" customHeight="1">
      <c r="A112" s="119"/>
      <c r="B112" s="98" t="s">
        <v>312</v>
      </c>
      <c r="C112" s="98" t="s">
        <v>313</v>
      </c>
      <c r="D112" s="99">
        <v>36</v>
      </c>
      <c r="E112" s="98" t="s">
        <v>118</v>
      </c>
      <c r="F112" s="99">
        <v>3</v>
      </c>
      <c r="G112" s="100" t="s">
        <v>309</v>
      </c>
      <c r="H112" s="99">
        <v>6</v>
      </c>
      <c r="I112" s="101">
        <v>1</v>
      </c>
      <c r="J112" s="101">
        <v>9</v>
      </c>
      <c r="K112" s="102">
        <f t="shared" si="2"/>
        <v>9</v>
      </c>
      <c r="L112" s="121"/>
    </row>
    <row r="113" spans="1:12" s="54" customFormat="1" ht="27.6" customHeight="1">
      <c r="A113" s="81" t="s">
        <v>233</v>
      </c>
      <c r="B113" s="81"/>
      <c r="C113" s="81"/>
      <c r="D113" s="82"/>
      <c r="E113" s="82"/>
      <c r="F113" s="82"/>
      <c r="G113" s="82"/>
      <c r="H113" s="82"/>
      <c r="I113" s="83">
        <f>SUM(I75:I112)</f>
        <v>36</v>
      </c>
      <c r="J113" s="83"/>
      <c r="K113" s="83">
        <f>SUM(K75:K112)</f>
        <v>324</v>
      </c>
      <c r="L113" s="83">
        <f>SUM(L75:L112)</f>
        <v>324</v>
      </c>
    </row>
    <row r="114" spans="1:12" ht="13.8">
      <c r="A114" s="40"/>
      <c r="B114" s="44"/>
      <c r="C114" s="40"/>
      <c r="D114" s="40"/>
      <c r="E114" s="40"/>
      <c r="F114" s="40"/>
      <c r="G114" s="40"/>
      <c r="H114" s="40"/>
      <c r="I114" s="40"/>
      <c r="J114" s="40"/>
      <c r="K114" s="40"/>
      <c r="L114" s="44"/>
    </row>
    <row r="115" spans="1:12" ht="46.2" customHeight="1">
      <c r="A115" s="40"/>
      <c r="B115" s="44"/>
      <c r="C115" s="40"/>
      <c r="D115" s="40"/>
      <c r="E115" s="40"/>
      <c r="F115" s="40"/>
      <c r="G115" s="40"/>
      <c r="H115" s="40"/>
      <c r="I115" s="40"/>
      <c r="J115" s="40"/>
      <c r="K115" s="40"/>
      <c r="L115" s="44"/>
    </row>
    <row r="116" spans="1:12" ht="14.4">
      <c r="A116" s="103"/>
      <c r="B116" s="48" t="s">
        <v>314</v>
      </c>
      <c r="C116" s="103"/>
      <c r="D116" s="103"/>
      <c r="E116" s="103"/>
      <c r="F116" s="103"/>
      <c r="G116" s="103"/>
      <c r="H116" s="103"/>
      <c r="I116" s="104" t="s">
        <v>315</v>
      </c>
      <c r="J116" s="103"/>
      <c r="K116" s="103"/>
      <c r="L116" s="104"/>
    </row>
    <row r="117" spans="1:12" ht="14.4">
      <c r="A117" s="103"/>
      <c r="B117" s="48" t="s">
        <v>316</v>
      </c>
      <c r="C117" s="103"/>
      <c r="D117" s="103"/>
      <c r="E117" s="103"/>
      <c r="F117" s="103"/>
      <c r="G117" s="103"/>
      <c r="H117" s="103"/>
      <c r="I117" s="104" t="s">
        <v>317</v>
      </c>
      <c r="J117" s="103"/>
      <c r="K117" s="103"/>
      <c r="L117" s="104"/>
    </row>
    <row r="118" spans="1:12" ht="14.4">
      <c r="A118" s="103"/>
      <c r="B118" s="105"/>
      <c r="C118" s="103"/>
      <c r="D118" s="103"/>
      <c r="E118" s="103"/>
      <c r="F118" s="103"/>
      <c r="G118" s="103"/>
      <c r="H118" s="103"/>
      <c r="I118" s="104"/>
      <c r="J118" s="103"/>
      <c r="K118" s="103"/>
      <c r="L118" s="104"/>
    </row>
    <row r="119" spans="1:12" ht="14.4">
      <c r="A119" s="103"/>
      <c r="B119" s="48"/>
      <c r="C119" s="103"/>
      <c r="D119" s="103"/>
      <c r="E119" s="103"/>
      <c r="F119" s="103"/>
      <c r="G119" s="103"/>
      <c r="H119" s="103"/>
      <c r="I119" s="106"/>
      <c r="J119" s="103"/>
      <c r="K119" s="103"/>
      <c r="L119" s="104"/>
    </row>
    <row r="120" spans="1:12" ht="14.4">
      <c r="A120" s="103"/>
      <c r="B120" s="48"/>
      <c r="C120" s="103"/>
      <c r="D120" s="103"/>
      <c r="E120" s="103"/>
      <c r="F120" s="103"/>
      <c r="G120" s="103"/>
      <c r="H120" s="103"/>
      <c r="I120" s="106"/>
      <c r="J120" s="103"/>
      <c r="K120" s="103"/>
      <c r="L120" s="104"/>
    </row>
    <row r="121" spans="1:12" ht="14.4">
      <c r="A121" s="103"/>
      <c r="B121" s="107" t="s">
        <v>318</v>
      </c>
      <c r="C121" s="103"/>
      <c r="D121" s="103"/>
      <c r="E121" s="103"/>
      <c r="F121" s="103"/>
      <c r="G121" s="103"/>
      <c r="H121" s="103"/>
      <c r="I121" s="108" t="s">
        <v>319</v>
      </c>
      <c r="J121" s="103"/>
      <c r="K121" s="103"/>
      <c r="L121" s="104"/>
    </row>
    <row r="122" spans="1:12" ht="14.4">
      <c r="A122" s="103"/>
      <c r="B122" s="48" t="s">
        <v>320</v>
      </c>
      <c r="C122" s="103"/>
      <c r="D122" s="103"/>
      <c r="E122" s="103"/>
      <c r="F122" s="103"/>
      <c r="G122" s="103"/>
      <c r="H122" s="103"/>
      <c r="I122" s="104" t="s">
        <v>321</v>
      </c>
      <c r="J122" s="103"/>
      <c r="K122" s="103"/>
      <c r="L122" s="104"/>
    </row>
    <row r="123" spans="1:12" ht="15.75" customHeight="1">
      <c r="E123" s="109"/>
    </row>
    <row r="124" spans="1:12" ht="15.75" customHeight="1">
      <c r="E124" s="111"/>
    </row>
    <row r="125" spans="1:12" ht="15.75" customHeight="1">
      <c r="E125" s="111"/>
    </row>
    <row r="126" spans="1:12" ht="15.75" customHeight="1">
      <c r="E126" s="109"/>
    </row>
    <row r="127" spans="1:12" ht="15.75" customHeight="1">
      <c r="E127" s="111"/>
    </row>
    <row r="128" spans="1:12" ht="15.75" customHeight="1">
      <c r="E128" s="111"/>
    </row>
    <row r="129" spans="5:5" ht="15.75" customHeight="1">
      <c r="E129" s="109"/>
    </row>
    <row r="130" spans="5:5" ht="15.75" customHeight="1">
      <c r="E130" s="109"/>
    </row>
    <row r="131" spans="5:5" ht="15.75" customHeight="1">
      <c r="E131" s="111"/>
    </row>
    <row r="132" spans="5:5" ht="15.75" customHeight="1">
      <c r="E132" s="111"/>
    </row>
    <row r="133" spans="5:5" ht="15.75" customHeight="1">
      <c r="E133" s="109"/>
    </row>
    <row r="134" spans="5:5" ht="15.75" customHeight="1">
      <c r="E134" s="111"/>
    </row>
  </sheetData>
  <mergeCells count="24">
    <mergeCell ref="A8:B8"/>
    <mergeCell ref="A1:L1"/>
    <mergeCell ref="A3:B3"/>
    <mergeCell ref="C5:D5"/>
    <mergeCell ref="A6:B6"/>
    <mergeCell ref="A7:B7"/>
    <mergeCell ref="A12:A18"/>
    <mergeCell ref="L12:L18"/>
    <mergeCell ref="A19:A21"/>
    <mergeCell ref="L19:L21"/>
    <mergeCell ref="A22:A30"/>
    <mergeCell ref="L22:L30"/>
    <mergeCell ref="A31:A44"/>
    <mergeCell ref="L31:L44"/>
    <mergeCell ref="A45:A61"/>
    <mergeCell ref="L45:L61"/>
    <mergeCell ref="A62:A65"/>
    <mergeCell ref="L62:L65"/>
    <mergeCell ref="A75:A103"/>
    <mergeCell ref="L75:L103"/>
    <mergeCell ref="A106:A109"/>
    <mergeCell ref="L106:L109"/>
    <mergeCell ref="A110:A112"/>
    <mergeCell ref="L110:L112"/>
  </mergeCells>
  <pageMargins left="0.15" right="0.12" top="0.24" bottom="0.23" header="0.14000000000000001" footer="0.15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005"/>
  <sheetViews>
    <sheetView topLeftCell="A7" zoomScaleNormal="100" workbookViewId="0">
      <selection activeCell="F22" sqref="F22"/>
    </sheetView>
  </sheetViews>
  <sheetFormatPr defaultColWidth="14.44140625" defaultRowHeight="15" customHeight="1"/>
  <cols>
    <col min="1" max="1" width="7.109375" customWidth="1"/>
    <col min="2" max="2" width="19.109375" customWidth="1"/>
    <col min="3" max="3" width="16.109375" customWidth="1"/>
    <col min="4" max="4" width="15.6640625" customWidth="1"/>
    <col min="5" max="5" width="13.33203125" customWidth="1"/>
    <col min="6" max="6" width="15.5546875" customWidth="1"/>
    <col min="7" max="7" width="16.88671875" customWidth="1"/>
    <col min="8" max="8" width="11.33203125" customWidth="1"/>
    <col min="9" max="9" width="7.88671875" customWidth="1"/>
    <col min="10" max="12" width="11.33203125" customWidth="1"/>
    <col min="13" max="24" width="8.6640625" customWidth="1"/>
  </cols>
  <sheetData>
    <row r="1" spans="1:24" ht="18">
      <c r="A1" s="144" t="s">
        <v>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5.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5.6">
      <c r="A3" s="4" t="s">
        <v>2</v>
      </c>
      <c r="B3" s="2"/>
      <c r="C3" s="4" t="s">
        <v>4</v>
      </c>
      <c r="D3" s="2"/>
      <c r="E3" s="2"/>
      <c r="F3" s="2"/>
      <c r="G3" s="2"/>
      <c r="H3" s="2"/>
      <c r="I3" s="2"/>
      <c r="J3" s="2"/>
      <c r="K3" s="2"/>
      <c r="L3" s="2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5.6">
      <c r="A4" s="4" t="s">
        <v>5</v>
      </c>
      <c r="B4" s="2"/>
      <c r="C4" s="4" t="s">
        <v>6</v>
      </c>
      <c r="D4" s="2"/>
      <c r="E4" s="2"/>
      <c r="F4" s="2"/>
      <c r="G4" s="2"/>
      <c r="H4" s="2"/>
      <c r="I4" s="2"/>
      <c r="J4" s="2"/>
      <c r="K4" s="2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5.6">
      <c r="A5" s="4" t="s">
        <v>7</v>
      </c>
      <c r="B5" s="2"/>
      <c r="C5" s="4" t="s">
        <v>8</v>
      </c>
      <c r="D5" s="2"/>
      <c r="E5" s="2"/>
      <c r="F5" s="2"/>
      <c r="G5" s="2"/>
      <c r="H5" s="2"/>
      <c r="I5" s="2"/>
      <c r="J5" s="2"/>
      <c r="K5" s="2"/>
      <c r="L5" s="2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5.6">
      <c r="A6" s="4" t="s">
        <v>9</v>
      </c>
      <c r="B6" s="2"/>
      <c r="C6" s="4" t="s">
        <v>10</v>
      </c>
      <c r="D6" s="2"/>
      <c r="E6" s="2"/>
      <c r="F6" s="2"/>
      <c r="G6" s="2"/>
      <c r="H6" s="2"/>
      <c r="I6" s="2"/>
      <c r="J6" s="2"/>
      <c r="K6" s="2"/>
      <c r="L6" s="2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5.6">
      <c r="A7" s="4" t="s">
        <v>11</v>
      </c>
      <c r="B7" s="2"/>
      <c r="C7" s="4" t="s">
        <v>12</v>
      </c>
      <c r="D7" s="2"/>
      <c r="E7" s="2"/>
      <c r="F7" s="2"/>
      <c r="G7" s="2"/>
      <c r="H7" s="2"/>
      <c r="I7" s="2"/>
      <c r="J7" s="2"/>
      <c r="K7" s="2"/>
      <c r="L7" s="2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5.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5.6">
      <c r="A9" s="146" t="s">
        <v>3</v>
      </c>
      <c r="B9" s="146" t="s">
        <v>13</v>
      </c>
      <c r="C9" s="148" t="s">
        <v>16</v>
      </c>
      <c r="D9" s="149"/>
      <c r="E9" s="149"/>
      <c r="F9" s="149"/>
      <c r="G9" s="149"/>
      <c r="H9" s="149"/>
      <c r="I9" s="149"/>
      <c r="J9" s="149"/>
      <c r="K9" s="149"/>
      <c r="L9" s="14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 spans="1:24" ht="15.75" customHeight="1">
      <c r="A10" s="147"/>
      <c r="B10" s="147"/>
      <c r="C10" s="10">
        <v>1</v>
      </c>
      <c r="D10" s="10">
        <v>2</v>
      </c>
      <c r="E10" s="10">
        <v>3</v>
      </c>
      <c r="F10" s="10">
        <v>4</v>
      </c>
      <c r="G10" s="10">
        <v>5</v>
      </c>
      <c r="H10" s="10">
        <v>6</v>
      </c>
      <c r="I10" s="10">
        <v>7</v>
      </c>
      <c r="J10" s="10">
        <v>8</v>
      </c>
      <c r="K10" s="10">
        <v>9</v>
      </c>
      <c r="L10" s="10">
        <v>10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 spans="1:24" ht="15.75" customHeight="1">
      <c r="A11" s="17">
        <v>1</v>
      </c>
      <c r="B11" s="26" t="s">
        <v>25</v>
      </c>
      <c r="C11" s="19" t="s">
        <v>46</v>
      </c>
      <c r="D11" s="19" t="s">
        <v>52</v>
      </c>
      <c r="E11" s="19" t="s">
        <v>35</v>
      </c>
      <c r="F11" s="19" t="s">
        <v>37</v>
      </c>
      <c r="G11" s="19" t="s">
        <v>36</v>
      </c>
      <c r="H11" s="19" t="s">
        <v>39</v>
      </c>
      <c r="I11" s="19" t="s">
        <v>38</v>
      </c>
      <c r="J11" s="19" t="s">
        <v>75</v>
      </c>
      <c r="K11" s="19"/>
      <c r="L11" s="1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 spans="1:24" ht="15.75" customHeight="1">
      <c r="A12" s="20"/>
      <c r="B12" s="21" t="s">
        <v>32</v>
      </c>
      <c r="C12" s="29" t="s">
        <v>58</v>
      </c>
      <c r="D12" s="22"/>
      <c r="E12" s="22"/>
      <c r="F12" s="22"/>
      <c r="G12" s="22"/>
      <c r="H12" s="22"/>
      <c r="I12" s="22"/>
      <c r="J12" s="22"/>
      <c r="K12" s="22"/>
      <c r="L12" s="2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 spans="1:24" ht="15.75" customHeight="1">
      <c r="A13" s="17">
        <v>2</v>
      </c>
      <c r="B13" s="26" t="s">
        <v>34</v>
      </c>
      <c r="C13" s="19" t="s">
        <v>47</v>
      </c>
      <c r="D13" s="19" t="s">
        <v>40</v>
      </c>
      <c r="E13" s="19" t="s">
        <v>35</v>
      </c>
      <c r="F13" s="19" t="s">
        <v>37</v>
      </c>
      <c r="G13" s="19" t="s">
        <v>36</v>
      </c>
      <c r="H13" s="19" t="s">
        <v>39</v>
      </c>
      <c r="I13" s="19" t="s">
        <v>38</v>
      </c>
      <c r="J13" s="19"/>
      <c r="K13" s="19"/>
      <c r="L13" s="1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 spans="1:24" ht="15.75" customHeight="1">
      <c r="A14" s="20"/>
      <c r="B14" s="21" t="s">
        <v>32</v>
      </c>
      <c r="C14" s="29" t="s">
        <v>58</v>
      </c>
      <c r="D14" s="22"/>
      <c r="E14" s="22"/>
      <c r="F14" s="22"/>
      <c r="G14" s="22"/>
      <c r="H14" s="22"/>
      <c r="I14" s="22"/>
      <c r="J14" s="22"/>
      <c r="K14" s="22"/>
      <c r="L14" s="22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 spans="1:24" ht="15.75" customHeight="1">
      <c r="A15" s="17">
        <v>3</v>
      </c>
      <c r="B15" s="26" t="s">
        <v>23</v>
      </c>
      <c r="C15" s="19" t="s">
        <v>48</v>
      </c>
      <c r="D15" s="19" t="s">
        <v>53</v>
      </c>
      <c r="E15" s="19" t="s">
        <v>36</v>
      </c>
      <c r="F15" s="19" t="s">
        <v>39</v>
      </c>
      <c r="G15" s="19"/>
      <c r="H15" s="19"/>
      <c r="I15" s="19"/>
      <c r="J15" s="19"/>
      <c r="K15" s="19"/>
      <c r="L15" s="1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 spans="1:24" ht="15.75" customHeight="1">
      <c r="A16" s="20"/>
      <c r="B16" s="21" t="s">
        <v>32</v>
      </c>
      <c r="C16" s="29" t="s">
        <v>58</v>
      </c>
      <c r="D16" s="22"/>
      <c r="E16" s="22"/>
      <c r="F16" s="22"/>
      <c r="G16" s="22"/>
      <c r="H16" s="22"/>
      <c r="I16" s="22"/>
      <c r="J16" s="22"/>
      <c r="K16" s="22"/>
      <c r="L16" s="22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 spans="1:24" ht="15.75" customHeight="1">
      <c r="A17" s="17">
        <v>4</v>
      </c>
      <c r="B17" s="26" t="s">
        <v>24</v>
      </c>
      <c r="C17" s="19" t="s">
        <v>44</v>
      </c>
      <c r="D17" s="19" t="s">
        <v>45</v>
      </c>
      <c r="E17" s="19"/>
      <c r="F17" s="19"/>
      <c r="G17" s="19"/>
      <c r="H17" s="19"/>
      <c r="I17" s="19"/>
      <c r="J17" s="19"/>
      <c r="K17" s="19"/>
      <c r="L17" s="1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 spans="1:24" ht="15.75" customHeight="1">
      <c r="A18" s="20"/>
      <c r="B18" s="21" t="s">
        <v>32</v>
      </c>
      <c r="C18" s="29" t="s">
        <v>58</v>
      </c>
      <c r="D18" s="22"/>
      <c r="E18" s="22"/>
      <c r="F18" s="22"/>
      <c r="G18" s="22"/>
      <c r="H18" s="22"/>
      <c r="I18" s="22"/>
      <c r="J18" s="22"/>
      <c r="K18" s="22"/>
      <c r="L18" s="22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 spans="1:24" ht="15.75" customHeight="1">
      <c r="A19" s="17">
        <v>4</v>
      </c>
      <c r="B19" s="26" t="s">
        <v>30</v>
      </c>
      <c r="C19" s="19" t="s">
        <v>67</v>
      </c>
      <c r="D19" s="19" t="s">
        <v>68</v>
      </c>
      <c r="E19" s="19"/>
      <c r="F19" s="19"/>
      <c r="G19" s="19"/>
      <c r="H19" s="19"/>
      <c r="I19" s="19"/>
      <c r="J19" s="19"/>
      <c r="K19" s="19"/>
      <c r="L19" s="1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 spans="1:24" ht="15.75" customHeight="1">
      <c r="A20" s="20"/>
      <c r="B20" s="21" t="s">
        <v>32</v>
      </c>
      <c r="C20" s="29" t="s">
        <v>58</v>
      </c>
      <c r="D20" s="22"/>
      <c r="E20" s="22"/>
      <c r="F20" s="22"/>
      <c r="G20" s="22"/>
      <c r="H20" s="22"/>
      <c r="I20" s="22"/>
      <c r="J20" s="22"/>
      <c r="K20" s="22"/>
      <c r="L20" s="22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 spans="1:24" ht="15.75" customHeight="1">
      <c r="A21" s="17">
        <v>5</v>
      </c>
      <c r="B21" s="18" t="s">
        <v>22</v>
      </c>
      <c r="C21" s="19" t="s">
        <v>49</v>
      </c>
      <c r="D21" s="27" t="s">
        <v>48</v>
      </c>
      <c r="E21" s="27" t="s">
        <v>44</v>
      </c>
      <c r="F21" s="27" t="s">
        <v>43</v>
      </c>
      <c r="G21" s="27" t="s">
        <v>41</v>
      </c>
      <c r="H21" s="27" t="s">
        <v>54</v>
      </c>
      <c r="I21" s="27" t="s">
        <v>42</v>
      </c>
      <c r="J21" s="27" t="s">
        <v>38</v>
      </c>
      <c r="K21" s="19"/>
      <c r="L21" s="1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 spans="1:24" ht="15.75" customHeight="1">
      <c r="A22" s="20"/>
      <c r="B22" s="21" t="s">
        <v>32</v>
      </c>
      <c r="C22" s="29" t="s">
        <v>58</v>
      </c>
      <c r="D22" s="28" t="s">
        <v>59</v>
      </c>
      <c r="E22" s="28" t="s">
        <v>59</v>
      </c>
      <c r="F22" s="22"/>
      <c r="G22" s="22"/>
      <c r="H22" s="22"/>
      <c r="I22" s="22"/>
      <c r="J22" s="22"/>
      <c r="K22" s="22"/>
      <c r="L22" s="22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 spans="1:24" ht="15.75" customHeight="1">
      <c r="A23" s="17">
        <v>6</v>
      </c>
      <c r="B23" s="18" t="s">
        <v>26</v>
      </c>
      <c r="C23" s="19" t="s">
        <v>50</v>
      </c>
      <c r="D23" s="27" t="s">
        <v>46</v>
      </c>
      <c r="E23" s="27" t="s">
        <v>47</v>
      </c>
      <c r="F23" s="27" t="s">
        <v>55</v>
      </c>
      <c r="G23" s="27" t="s">
        <v>56</v>
      </c>
      <c r="H23" s="19"/>
      <c r="I23" s="19"/>
      <c r="J23" s="19"/>
      <c r="K23" s="19"/>
      <c r="L23" s="1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 spans="1:24" ht="15.75" customHeight="1">
      <c r="A24" s="20"/>
      <c r="B24" s="21" t="s">
        <v>32</v>
      </c>
      <c r="C24" s="29" t="s">
        <v>58</v>
      </c>
      <c r="D24" s="28" t="s">
        <v>59</v>
      </c>
      <c r="E24" s="28" t="s">
        <v>59</v>
      </c>
      <c r="F24" s="22"/>
      <c r="G24" s="22"/>
      <c r="H24" s="22"/>
      <c r="I24" s="22"/>
      <c r="J24" s="22"/>
      <c r="K24" s="22"/>
      <c r="L24" s="22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spans="1:24" ht="15.75" customHeight="1">
      <c r="A25" s="17">
        <v>7</v>
      </c>
      <c r="B25" s="18" t="s">
        <v>27</v>
      </c>
      <c r="C25" s="19" t="s">
        <v>51</v>
      </c>
      <c r="D25" s="27" t="s">
        <v>49</v>
      </c>
      <c r="E25" s="27" t="s">
        <v>50</v>
      </c>
      <c r="F25" s="27" t="s">
        <v>57</v>
      </c>
      <c r="G25" s="19"/>
      <c r="H25" s="19"/>
      <c r="I25" s="19"/>
      <c r="J25" s="19"/>
      <c r="K25" s="19"/>
      <c r="L25" s="1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spans="1:24" ht="15.75" customHeight="1">
      <c r="A26" s="20"/>
      <c r="B26" s="21" t="s">
        <v>32</v>
      </c>
      <c r="C26" s="29" t="s">
        <v>58</v>
      </c>
      <c r="D26" s="28" t="s">
        <v>59</v>
      </c>
      <c r="E26" s="28" t="s">
        <v>59</v>
      </c>
      <c r="F26" s="22"/>
      <c r="G26" s="22"/>
      <c r="H26" s="22"/>
      <c r="I26" s="22"/>
      <c r="J26" s="22"/>
      <c r="K26" s="22"/>
      <c r="L26" s="22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spans="1:24" ht="15.75" customHeight="1">
      <c r="A27" s="17">
        <v>8</v>
      </c>
      <c r="B27" s="23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 spans="1:24" ht="15.75" customHeight="1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spans="1:24" ht="15.75" customHeight="1">
      <c r="A29" s="14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 spans="1:24" ht="15.75" customHeight="1">
      <c r="A30" s="14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 spans="1:24" ht="15.75" customHeight="1">
      <c r="A31" s="14"/>
      <c r="B31" s="9"/>
      <c r="C31" s="9"/>
      <c r="D31" s="9"/>
      <c r="E31" s="9"/>
      <c r="F31" s="15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 spans="1:24" ht="15.75" customHeight="1">
      <c r="A32" s="14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 spans="1:24" ht="15.75" customHeight="1">
      <c r="A33" s="14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 spans="1:24" ht="15.75" customHeight="1">
      <c r="A34" s="14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 spans="1:24" ht="15.75" customHeight="1">
      <c r="A35" s="14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 spans="1:24" ht="15.75" customHeight="1">
      <c r="A36" s="14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 spans="1:24" ht="15.75" customHeight="1">
      <c r="A37" s="14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 spans="1:24" ht="15.75" customHeight="1">
      <c r="A38" s="14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 spans="1:24" ht="15.75" customHeight="1">
      <c r="A39" s="14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 spans="1:24" ht="15.75" customHeight="1">
      <c r="A40" s="14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 spans="1:24" ht="15.75" customHeight="1">
      <c r="A41" s="14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 spans="1:24" ht="15.75" customHeight="1">
      <c r="A42" s="14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 spans="1:24" ht="15.75" customHeight="1">
      <c r="A43" s="14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 spans="1:24" ht="15.75" customHeight="1">
      <c r="A44" s="14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 spans="1:24" ht="15.75" customHeight="1">
      <c r="A45" s="14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 spans="1:24" ht="15.75" customHeight="1">
      <c r="A46" s="14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 spans="1:24" ht="15.75" customHeight="1">
      <c r="A47" s="14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 spans="1:24" ht="15.75" customHeight="1">
      <c r="A48" s="14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 spans="1:24" ht="15.75" customHeight="1">
      <c r="A49" s="14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 spans="1:24" ht="15.75" customHeight="1">
      <c r="A50" s="14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 spans="1:24" ht="15.75" customHeight="1">
      <c r="A51" s="14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</row>
    <row r="52" spans="1:24" ht="15.75" customHeight="1">
      <c r="A52" s="14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</row>
    <row r="53" spans="1:24" ht="15.75" customHeight="1">
      <c r="A53" s="14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</row>
    <row r="54" spans="1:24" ht="15.75" customHeight="1">
      <c r="A54" s="14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</row>
    <row r="55" spans="1:24" ht="15.75" customHeight="1">
      <c r="A55" s="14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</row>
    <row r="56" spans="1:24" ht="15.75" customHeight="1">
      <c r="A56" s="14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</row>
    <row r="57" spans="1:24" ht="15.75" customHeight="1">
      <c r="A57" s="14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</row>
    <row r="58" spans="1:24" ht="15.75" customHeight="1">
      <c r="A58" s="14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</row>
    <row r="59" spans="1:24" ht="15.75" customHeight="1">
      <c r="A59" s="14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</row>
    <row r="60" spans="1:24" ht="15.75" customHeight="1">
      <c r="A60" s="14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</row>
    <row r="61" spans="1:24" ht="15.75" customHeight="1">
      <c r="A61" s="14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</row>
    <row r="62" spans="1:24" ht="15.75" customHeight="1">
      <c r="A62" s="14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</row>
    <row r="63" spans="1:24" ht="15.75" customHeight="1">
      <c r="A63" s="14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</row>
    <row r="64" spans="1:24" ht="15.75" customHeight="1">
      <c r="A64" s="14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</row>
    <row r="65" spans="1:24" ht="15.75" customHeight="1">
      <c r="A65" s="14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</row>
    <row r="66" spans="1:24" ht="15.75" customHeight="1">
      <c r="A66" s="14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</row>
    <row r="67" spans="1:24" ht="15.75" customHeight="1">
      <c r="A67" s="14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</row>
    <row r="68" spans="1:24" ht="15.75" customHeight="1">
      <c r="A68" s="14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</row>
    <row r="69" spans="1:24" ht="15.75" customHeight="1">
      <c r="A69" s="14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</row>
    <row r="70" spans="1:24" ht="15.75" customHeight="1">
      <c r="A70" s="14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</row>
    <row r="71" spans="1:24" ht="15.75" customHeight="1">
      <c r="A71" s="14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</row>
    <row r="72" spans="1:24" ht="15.75" customHeight="1">
      <c r="A72" s="14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</row>
    <row r="73" spans="1:24" ht="15.75" customHeight="1">
      <c r="A73" s="14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</row>
    <row r="74" spans="1:24" ht="15.75" customHeight="1">
      <c r="A74" s="14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</row>
    <row r="75" spans="1:24" ht="15.75" customHeight="1">
      <c r="A75" s="14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</row>
    <row r="76" spans="1:24" ht="15.75" customHeight="1">
      <c r="A76" s="14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</row>
    <row r="77" spans="1:24" ht="15.75" customHeight="1">
      <c r="A77" s="14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</row>
    <row r="78" spans="1:24" ht="15.75" customHeight="1">
      <c r="A78" s="14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</row>
    <row r="79" spans="1:24" ht="15.75" customHeight="1">
      <c r="A79" s="14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</row>
    <row r="80" spans="1:24" ht="15.75" customHeight="1">
      <c r="A80" s="14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</row>
    <row r="81" spans="1:24" ht="15.75" customHeight="1">
      <c r="A81" s="14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</row>
    <row r="82" spans="1:24" ht="15.75" customHeight="1">
      <c r="A82" s="14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</row>
    <row r="83" spans="1:24" ht="15.75" customHeight="1">
      <c r="A83" s="14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</row>
    <row r="84" spans="1:24" ht="15.75" customHeight="1">
      <c r="A84" s="14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</row>
    <row r="85" spans="1:24" ht="15.75" customHeight="1">
      <c r="A85" s="14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</row>
    <row r="86" spans="1:24" ht="15.75" customHeight="1">
      <c r="A86" s="14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</row>
    <row r="87" spans="1:24" ht="15.75" customHeight="1">
      <c r="A87" s="14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</row>
    <row r="88" spans="1:24" ht="15.75" customHeight="1">
      <c r="A88" s="14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</row>
    <row r="89" spans="1:24" ht="15.75" customHeight="1">
      <c r="A89" s="14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</row>
    <row r="90" spans="1:24" ht="15.75" customHeight="1">
      <c r="A90" s="14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</row>
    <row r="91" spans="1:24" ht="15.75" customHeight="1">
      <c r="A91" s="14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</row>
    <row r="92" spans="1:24" ht="15.75" customHeight="1">
      <c r="A92" s="14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</row>
    <row r="93" spans="1:24" ht="15.75" customHeight="1">
      <c r="A93" s="14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</row>
    <row r="94" spans="1:24" ht="15.75" customHeight="1">
      <c r="A94" s="14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</row>
    <row r="95" spans="1:24" ht="15.75" customHeight="1">
      <c r="A95" s="14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</row>
    <row r="96" spans="1:24" ht="15.75" customHeight="1">
      <c r="A96" s="14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</row>
    <row r="97" spans="1:24" ht="15.75" customHeight="1">
      <c r="A97" s="14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</row>
    <row r="98" spans="1:24" ht="15.75" customHeight="1">
      <c r="A98" s="14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</row>
    <row r="99" spans="1:24" ht="15.75" customHeight="1">
      <c r="A99" s="14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</row>
    <row r="100" spans="1:24" ht="15.75" customHeight="1">
      <c r="A100" s="14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</row>
    <row r="101" spans="1:24" ht="15.75" customHeight="1">
      <c r="A101" s="14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</row>
    <row r="102" spans="1:24" ht="15.75" customHeight="1">
      <c r="A102" s="14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</row>
    <row r="103" spans="1:24" ht="15.75" customHeight="1">
      <c r="A103" s="14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</row>
    <row r="104" spans="1:24" ht="15.75" customHeight="1">
      <c r="A104" s="14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</row>
    <row r="105" spans="1:24" ht="15.75" customHeight="1">
      <c r="A105" s="14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</row>
    <row r="106" spans="1:24" ht="15.75" customHeight="1">
      <c r="A106" s="14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</row>
    <row r="107" spans="1:24" ht="15.75" customHeight="1">
      <c r="A107" s="14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</row>
    <row r="108" spans="1:24" ht="15.75" customHeight="1">
      <c r="A108" s="14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</row>
    <row r="109" spans="1:24" ht="15.75" customHeight="1">
      <c r="A109" s="14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</row>
    <row r="110" spans="1:24" ht="15.75" customHeight="1">
      <c r="A110" s="14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</row>
    <row r="111" spans="1:24" ht="15.75" customHeight="1">
      <c r="A111" s="14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</row>
    <row r="112" spans="1:24" ht="15.75" customHeight="1">
      <c r="A112" s="14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</row>
    <row r="113" spans="1:24" ht="15.75" customHeight="1">
      <c r="A113" s="14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</row>
    <row r="114" spans="1:24" ht="15.75" customHeight="1">
      <c r="A114" s="14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</row>
    <row r="115" spans="1:24" ht="15.75" customHeight="1">
      <c r="A115" s="14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</row>
    <row r="116" spans="1:24" ht="15.75" customHeight="1">
      <c r="A116" s="14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</row>
    <row r="117" spans="1:24" ht="15.75" customHeight="1">
      <c r="A117" s="14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</row>
    <row r="118" spans="1:24" ht="15.75" customHeight="1">
      <c r="A118" s="14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</row>
    <row r="119" spans="1:24" ht="15.75" customHeight="1">
      <c r="A119" s="14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</row>
    <row r="120" spans="1:24" ht="15.75" customHeight="1">
      <c r="A120" s="14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</row>
    <row r="121" spans="1:24" ht="15.75" customHeight="1">
      <c r="A121" s="14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</row>
    <row r="122" spans="1:24" ht="15.75" customHeight="1">
      <c r="A122" s="14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</row>
    <row r="123" spans="1:24" ht="15.75" customHeight="1">
      <c r="A123" s="14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</row>
    <row r="124" spans="1:24" ht="15.75" customHeight="1">
      <c r="A124" s="14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</row>
    <row r="125" spans="1:24" ht="15.75" customHeight="1">
      <c r="A125" s="14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</row>
    <row r="126" spans="1:24" ht="15.75" customHeight="1">
      <c r="A126" s="14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</row>
    <row r="127" spans="1:24" ht="15.75" customHeight="1">
      <c r="A127" s="14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</row>
    <row r="128" spans="1:24" ht="15.75" customHeight="1">
      <c r="A128" s="14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</row>
    <row r="129" spans="1:24" ht="15.75" customHeight="1">
      <c r="A129" s="14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</row>
    <row r="130" spans="1:24" ht="15.75" customHeight="1">
      <c r="A130" s="14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</row>
    <row r="131" spans="1:24" ht="15.75" customHeight="1">
      <c r="A131" s="14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</row>
    <row r="132" spans="1:24" ht="15.75" customHeight="1">
      <c r="A132" s="14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</row>
    <row r="133" spans="1:24" ht="15.75" customHeight="1">
      <c r="A133" s="14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</row>
    <row r="134" spans="1:24" ht="15.75" customHeight="1">
      <c r="A134" s="14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</row>
    <row r="135" spans="1:24" ht="15.75" customHeight="1">
      <c r="A135" s="14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</row>
    <row r="136" spans="1:24" ht="15.75" customHeight="1">
      <c r="A136" s="14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</row>
    <row r="137" spans="1:24" ht="15.75" customHeight="1">
      <c r="A137" s="14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</row>
    <row r="138" spans="1:24" ht="15.75" customHeight="1">
      <c r="A138" s="14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</row>
    <row r="139" spans="1:24" ht="15.75" customHeight="1">
      <c r="A139" s="14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</row>
    <row r="140" spans="1:24" ht="15.75" customHeight="1">
      <c r="A140" s="14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</row>
    <row r="141" spans="1:24" ht="15.75" customHeight="1">
      <c r="A141" s="14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</row>
    <row r="142" spans="1:24" ht="15.75" customHeight="1">
      <c r="A142" s="14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</row>
    <row r="143" spans="1:24" ht="15.75" customHeight="1">
      <c r="A143" s="14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</row>
    <row r="144" spans="1:24" ht="15.75" customHeight="1">
      <c r="A144" s="14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</row>
    <row r="145" spans="1:24" ht="15.75" customHeight="1">
      <c r="A145" s="14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</row>
    <row r="146" spans="1:24" ht="15.75" customHeight="1">
      <c r="A146" s="14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</row>
    <row r="147" spans="1:24" ht="15.75" customHeight="1">
      <c r="A147" s="14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</row>
    <row r="148" spans="1:24" ht="15.75" customHeight="1">
      <c r="A148" s="14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</row>
    <row r="149" spans="1:24" ht="15.75" customHeight="1">
      <c r="A149" s="14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</row>
    <row r="150" spans="1:24" ht="15.75" customHeight="1">
      <c r="A150" s="14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</row>
    <row r="151" spans="1:24" ht="15.75" customHeight="1">
      <c r="A151" s="14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</row>
    <row r="152" spans="1:24" ht="15.75" customHeight="1">
      <c r="A152" s="14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</row>
    <row r="153" spans="1:24" ht="15.75" customHeight="1">
      <c r="A153" s="14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</row>
    <row r="154" spans="1:24" ht="15.75" customHeight="1">
      <c r="A154" s="14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</row>
    <row r="155" spans="1:24" ht="15.75" customHeight="1">
      <c r="A155" s="14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</row>
    <row r="156" spans="1:24" ht="15.75" customHeight="1">
      <c r="A156" s="14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</row>
    <row r="157" spans="1:24" ht="15.75" customHeight="1">
      <c r="A157" s="14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</row>
    <row r="158" spans="1:24" ht="15.75" customHeight="1">
      <c r="A158" s="14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</row>
    <row r="159" spans="1:24" ht="15.75" customHeight="1">
      <c r="A159" s="14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</row>
    <row r="160" spans="1:24" ht="15.75" customHeight="1">
      <c r="A160" s="14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</row>
    <row r="161" spans="1:24" ht="15.75" customHeight="1">
      <c r="A161" s="14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</row>
    <row r="162" spans="1:24" ht="15.75" customHeight="1">
      <c r="A162" s="14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</row>
    <row r="163" spans="1:24" ht="15.75" customHeight="1">
      <c r="A163" s="14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</row>
    <row r="164" spans="1:24" ht="15.75" customHeight="1">
      <c r="A164" s="14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</row>
    <row r="165" spans="1:24" ht="15.75" customHeight="1">
      <c r="A165" s="14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</row>
    <row r="166" spans="1:24" ht="15.75" customHeight="1">
      <c r="A166" s="14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</row>
    <row r="167" spans="1:24" ht="15.75" customHeight="1">
      <c r="A167" s="14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</row>
    <row r="168" spans="1:24" ht="15.75" customHeight="1">
      <c r="A168" s="14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</row>
    <row r="169" spans="1:24" ht="15.75" customHeight="1">
      <c r="A169" s="14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</row>
    <row r="170" spans="1:24" ht="15.75" customHeight="1">
      <c r="A170" s="14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</row>
    <row r="171" spans="1:24" ht="15.75" customHeight="1">
      <c r="A171" s="14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</row>
    <row r="172" spans="1:24" ht="15.75" customHeight="1">
      <c r="A172" s="14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</row>
    <row r="173" spans="1:24" ht="15.75" customHeight="1">
      <c r="A173" s="14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</row>
    <row r="174" spans="1:24" ht="15.75" customHeight="1">
      <c r="A174" s="14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</row>
    <row r="175" spans="1:24" ht="15.75" customHeight="1">
      <c r="A175" s="14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</row>
    <row r="176" spans="1:24" ht="15.75" customHeight="1">
      <c r="A176" s="14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</row>
    <row r="177" spans="1:24" ht="15.75" customHeight="1">
      <c r="A177" s="14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</row>
    <row r="178" spans="1:24" ht="15.75" customHeight="1">
      <c r="A178" s="14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</row>
    <row r="179" spans="1:24" ht="15.75" customHeight="1">
      <c r="A179" s="14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</row>
    <row r="180" spans="1:24" ht="15.75" customHeight="1">
      <c r="A180" s="14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</row>
    <row r="181" spans="1:24" ht="15.75" customHeight="1">
      <c r="A181" s="14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</row>
    <row r="182" spans="1:24" ht="15.75" customHeight="1">
      <c r="A182" s="14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</row>
    <row r="183" spans="1:24" ht="15.75" customHeight="1">
      <c r="A183" s="14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</row>
    <row r="184" spans="1:24" ht="15.75" customHeight="1">
      <c r="A184" s="14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</row>
    <row r="185" spans="1:24" ht="15.75" customHeight="1">
      <c r="A185" s="14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</row>
    <row r="186" spans="1:24" ht="15.75" customHeight="1">
      <c r="A186" s="14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</row>
    <row r="187" spans="1:24" ht="15.75" customHeight="1">
      <c r="A187" s="14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</row>
    <row r="188" spans="1:24" ht="15.75" customHeight="1">
      <c r="A188" s="14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</row>
    <row r="189" spans="1:24" ht="15.75" customHeight="1">
      <c r="A189" s="14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</row>
    <row r="190" spans="1:24" ht="15.75" customHeight="1">
      <c r="A190" s="14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</row>
    <row r="191" spans="1:24" ht="15.75" customHeight="1">
      <c r="A191" s="14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</row>
    <row r="192" spans="1:24" ht="15.75" customHeight="1">
      <c r="A192" s="14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</row>
    <row r="193" spans="1:24" ht="15.75" customHeight="1">
      <c r="A193" s="14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</row>
    <row r="194" spans="1:24" ht="15.75" customHeight="1">
      <c r="A194" s="14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</row>
    <row r="195" spans="1:24" ht="15.75" customHeight="1">
      <c r="A195" s="14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</row>
    <row r="196" spans="1:24" ht="15.75" customHeight="1">
      <c r="A196" s="14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</row>
    <row r="197" spans="1:24" ht="15.75" customHeight="1">
      <c r="A197" s="14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</row>
    <row r="198" spans="1:24" ht="15.75" customHeight="1">
      <c r="A198" s="14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</row>
    <row r="199" spans="1:24" ht="15.75" customHeight="1">
      <c r="A199" s="14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</row>
    <row r="200" spans="1:24" ht="15.75" customHeight="1">
      <c r="A200" s="14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</row>
    <row r="201" spans="1:24" ht="15.75" customHeight="1">
      <c r="A201" s="14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</row>
    <row r="202" spans="1:24" ht="15.75" customHeight="1">
      <c r="A202" s="14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</row>
    <row r="203" spans="1:24" ht="15.75" customHeight="1">
      <c r="A203" s="14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</row>
    <row r="204" spans="1:24" ht="15.75" customHeight="1">
      <c r="A204" s="14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</row>
    <row r="205" spans="1:24" ht="15.75" customHeight="1">
      <c r="A205" s="14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</row>
    <row r="206" spans="1:24" ht="15.75" customHeight="1">
      <c r="A206" s="14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</row>
    <row r="207" spans="1:24" ht="15.75" customHeight="1">
      <c r="A207" s="14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</row>
    <row r="208" spans="1:24" ht="15.75" customHeight="1">
      <c r="A208" s="14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</row>
    <row r="209" spans="1:24" ht="15.75" customHeight="1">
      <c r="A209" s="14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</row>
    <row r="210" spans="1:24" ht="15.75" customHeight="1">
      <c r="A210" s="14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</row>
    <row r="211" spans="1:24" ht="15.75" customHeight="1">
      <c r="A211" s="14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</row>
    <row r="212" spans="1:24" ht="15.75" customHeight="1">
      <c r="A212" s="14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</row>
    <row r="213" spans="1:24" ht="15.75" customHeight="1">
      <c r="A213" s="14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</row>
    <row r="214" spans="1:24" ht="15.75" customHeight="1">
      <c r="A214" s="14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</row>
    <row r="215" spans="1:24" ht="15.75" customHeight="1">
      <c r="A215" s="14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</row>
    <row r="216" spans="1:24" ht="15.75" customHeight="1">
      <c r="A216" s="14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</row>
    <row r="217" spans="1:24" ht="15.75" customHeight="1">
      <c r="A217" s="14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</row>
    <row r="218" spans="1:24" ht="15.75" customHeight="1">
      <c r="A218" s="14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</row>
    <row r="219" spans="1:24" ht="15.75" customHeight="1">
      <c r="A219" s="14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</row>
    <row r="220" spans="1:24" ht="15.75" customHeight="1">
      <c r="A220" s="14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</row>
    <row r="221" spans="1:24" ht="15.75" customHeight="1">
      <c r="A221" s="14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</row>
    <row r="222" spans="1:24" ht="15.75" customHeight="1">
      <c r="A222" s="14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</row>
    <row r="223" spans="1:24" ht="15.75" customHeight="1">
      <c r="A223" s="14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</row>
    <row r="224" spans="1:24" ht="15.75" customHeight="1">
      <c r="A224" s="14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</row>
    <row r="225" spans="1:24" ht="15.75" customHeight="1">
      <c r="A225" s="14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</row>
    <row r="226" spans="1:24" ht="15.75" customHeight="1">
      <c r="A226" s="14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</row>
    <row r="227" spans="1:24" ht="15.75" customHeight="1">
      <c r="A227" s="14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</row>
    <row r="228" spans="1:24" ht="15.75" customHeight="1">
      <c r="A228" s="14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</row>
    <row r="229" spans="1:24" ht="15.75" customHeight="1">
      <c r="A229" s="14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</row>
    <row r="230" spans="1:24" ht="15.75" customHeight="1">
      <c r="A230" s="14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</row>
    <row r="231" spans="1:24" ht="15.75" customHeight="1">
      <c r="A231" s="14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</row>
    <row r="232" spans="1:24" ht="15.75" customHeight="1">
      <c r="A232" s="14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</row>
    <row r="233" spans="1:24" ht="15.75" customHeight="1">
      <c r="A233" s="14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</row>
    <row r="234" spans="1:24" ht="15.75" customHeight="1">
      <c r="A234" s="14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</row>
    <row r="235" spans="1:24" ht="15.75" customHeight="1">
      <c r="A235" s="14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</row>
    <row r="236" spans="1:24" ht="15.75" customHeight="1">
      <c r="A236" s="14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</row>
    <row r="237" spans="1:24" ht="15.75" customHeight="1">
      <c r="A237" s="14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</row>
    <row r="238" spans="1:24" ht="15.75" customHeight="1">
      <c r="A238" s="14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</row>
    <row r="239" spans="1:24" ht="15.75" customHeight="1">
      <c r="A239" s="14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</row>
    <row r="240" spans="1:24" ht="15.75" customHeight="1">
      <c r="A240" s="14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</row>
    <row r="241" spans="1:24" ht="15.75" customHeight="1">
      <c r="A241" s="14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</row>
    <row r="242" spans="1:24" ht="15.75" customHeight="1">
      <c r="A242" s="14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</row>
    <row r="243" spans="1:24" ht="15.75" customHeight="1">
      <c r="A243" s="14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</row>
    <row r="244" spans="1:24" ht="15.75" customHeight="1">
      <c r="A244" s="14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</row>
    <row r="245" spans="1:24" ht="15.75" customHeight="1">
      <c r="A245" s="14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</row>
    <row r="246" spans="1:24" ht="15.75" customHeight="1">
      <c r="A246" s="14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</row>
    <row r="247" spans="1:24" ht="15.75" customHeight="1">
      <c r="A247" s="14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</row>
    <row r="248" spans="1:24" ht="15.75" customHeight="1">
      <c r="A248" s="14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</row>
    <row r="249" spans="1:24" ht="15.75" customHeight="1">
      <c r="A249" s="14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</row>
    <row r="250" spans="1:24" ht="15.75" customHeight="1">
      <c r="A250" s="14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</row>
    <row r="251" spans="1:24" ht="15.75" customHeight="1">
      <c r="A251" s="14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</row>
    <row r="252" spans="1:24" ht="15.75" customHeight="1">
      <c r="A252" s="14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</row>
    <row r="253" spans="1:24" ht="15.75" customHeight="1">
      <c r="A253" s="14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</row>
    <row r="254" spans="1:24" ht="15.75" customHeight="1">
      <c r="A254" s="14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</row>
    <row r="255" spans="1:24" ht="15.75" customHeight="1">
      <c r="A255" s="14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</row>
    <row r="256" spans="1:24" ht="15.75" customHeight="1">
      <c r="A256" s="14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</row>
    <row r="257" spans="1:24" ht="15.75" customHeight="1">
      <c r="A257" s="14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</row>
    <row r="258" spans="1:24" ht="15.75" customHeight="1">
      <c r="A258" s="14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</row>
    <row r="259" spans="1:24" ht="15.75" customHeight="1">
      <c r="A259" s="14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</row>
    <row r="260" spans="1:24" ht="15.75" customHeight="1">
      <c r="A260" s="14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</row>
    <row r="261" spans="1:24" ht="15.75" customHeight="1">
      <c r="A261" s="14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</row>
    <row r="262" spans="1:24" ht="15.75" customHeight="1">
      <c r="A262" s="14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</row>
    <row r="263" spans="1:24" ht="15.75" customHeight="1">
      <c r="A263" s="14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</row>
    <row r="264" spans="1:24" ht="15.75" customHeight="1">
      <c r="A264" s="14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</row>
    <row r="265" spans="1:24" ht="15.75" customHeight="1">
      <c r="A265" s="14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</row>
    <row r="266" spans="1:24" ht="15.75" customHeight="1">
      <c r="A266" s="14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</row>
    <row r="267" spans="1:24" ht="15.75" customHeight="1">
      <c r="A267" s="14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</row>
    <row r="268" spans="1:24" ht="15.75" customHeight="1">
      <c r="A268" s="14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</row>
    <row r="269" spans="1:24" ht="15.75" customHeight="1">
      <c r="A269" s="14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</row>
    <row r="270" spans="1:24" ht="15.75" customHeight="1">
      <c r="A270" s="14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</row>
    <row r="271" spans="1:24" ht="15.75" customHeight="1">
      <c r="A271" s="14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</row>
    <row r="272" spans="1:24" ht="15.75" customHeight="1">
      <c r="A272" s="14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</row>
    <row r="273" spans="1:24" ht="15.75" customHeight="1">
      <c r="A273" s="14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</row>
    <row r="274" spans="1:24" ht="15.75" customHeight="1">
      <c r="A274" s="14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</row>
    <row r="275" spans="1:24" ht="15.75" customHeight="1">
      <c r="A275" s="14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</row>
    <row r="276" spans="1:24" ht="15.75" customHeight="1">
      <c r="A276" s="14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</row>
    <row r="277" spans="1:24" ht="15.75" customHeight="1">
      <c r="A277" s="14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</row>
    <row r="278" spans="1:24" ht="15.75" customHeight="1">
      <c r="A278" s="14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</row>
    <row r="279" spans="1:24" ht="15.75" customHeight="1">
      <c r="A279" s="14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</row>
    <row r="280" spans="1:24" ht="15.75" customHeight="1">
      <c r="A280" s="14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</row>
    <row r="281" spans="1:24" ht="15.75" customHeight="1">
      <c r="A281" s="14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</row>
    <row r="282" spans="1:24" ht="15.75" customHeight="1">
      <c r="A282" s="14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</row>
    <row r="283" spans="1:24" ht="15.75" customHeight="1">
      <c r="A283" s="14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</row>
    <row r="284" spans="1:24" ht="15.75" customHeight="1">
      <c r="A284" s="14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</row>
    <row r="285" spans="1:24" ht="15.75" customHeight="1">
      <c r="A285" s="14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</row>
    <row r="286" spans="1:24" ht="15.75" customHeight="1">
      <c r="A286" s="14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</row>
    <row r="287" spans="1:24" ht="15.75" customHeight="1">
      <c r="A287" s="14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</row>
    <row r="288" spans="1:24" ht="15.75" customHeight="1">
      <c r="A288" s="14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</row>
    <row r="289" spans="1:24" ht="15.75" customHeight="1">
      <c r="A289" s="14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</row>
    <row r="290" spans="1:24" ht="15.75" customHeight="1">
      <c r="A290" s="14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</row>
    <row r="291" spans="1:24" ht="15.75" customHeight="1">
      <c r="A291" s="14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</row>
    <row r="292" spans="1:24" ht="15.75" customHeight="1">
      <c r="A292" s="14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</row>
    <row r="293" spans="1:24" ht="15.75" customHeight="1">
      <c r="A293" s="14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</row>
    <row r="294" spans="1:24" ht="15.75" customHeight="1">
      <c r="A294" s="14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</row>
    <row r="295" spans="1:24" ht="15.75" customHeight="1">
      <c r="A295" s="14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</row>
    <row r="296" spans="1:24" ht="15.75" customHeight="1">
      <c r="A296" s="14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</row>
    <row r="297" spans="1:24" ht="15.75" customHeight="1">
      <c r="A297" s="14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</row>
    <row r="298" spans="1:24" ht="15.75" customHeight="1">
      <c r="A298" s="14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</row>
    <row r="299" spans="1:24" ht="15.75" customHeight="1">
      <c r="A299" s="14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</row>
    <row r="300" spans="1:24" ht="15.75" customHeight="1">
      <c r="A300" s="14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</row>
    <row r="301" spans="1:24" ht="15.75" customHeight="1">
      <c r="A301" s="14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</row>
    <row r="302" spans="1:24" ht="15.75" customHeight="1">
      <c r="A302" s="14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</row>
    <row r="303" spans="1:24" ht="15.75" customHeight="1">
      <c r="A303" s="14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</row>
    <row r="304" spans="1:24" ht="15.75" customHeight="1">
      <c r="A304" s="14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</row>
    <row r="305" spans="1:24" ht="15.75" customHeight="1">
      <c r="A305" s="14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</row>
    <row r="306" spans="1:24" ht="15.75" customHeight="1">
      <c r="A306" s="14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</row>
    <row r="307" spans="1:24" ht="15.75" customHeight="1">
      <c r="A307" s="14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</row>
    <row r="308" spans="1:24" ht="15.75" customHeight="1">
      <c r="A308" s="14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</row>
    <row r="309" spans="1:24" ht="15.75" customHeight="1">
      <c r="A309" s="14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</row>
    <row r="310" spans="1:24" ht="15.75" customHeight="1">
      <c r="A310" s="14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</row>
    <row r="311" spans="1:24" ht="15.75" customHeight="1">
      <c r="A311" s="14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</row>
    <row r="312" spans="1:24" ht="15.75" customHeight="1">
      <c r="A312" s="14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</row>
    <row r="313" spans="1:24" ht="15.75" customHeight="1">
      <c r="A313" s="14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</row>
    <row r="314" spans="1:24" ht="15.75" customHeight="1">
      <c r="A314" s="14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</row>
    <row r="315" spans="1:24" ht="15.75" customHeight="1">
      <c r="A315" s="14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</row>
    <row r="316" spans="1:24" ht="15.75" customHeight="1">
      <c r="A316" s="14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</row>
    <row r="317" spans="1:24" ht="15.75" customHeight="1">
      <c r="A317" s="14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</row>
    <row r="318" spans="1:24" ht="15.75" customHeight="1">
      <c r="A318" s="14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</row>
    <row r="319" spans="1:24" ht="15.75" customHeight="1">
      <c r="A319" s="14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</row>
    <row r="320" spans="1:24" ht="15.75" customHeight="1">
      <c r="A320" s="14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</row>
    <row r="321" spans="1:24" ht="15.75" customHeight="1">
      <c r="A321" s="14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</row>
    <row r="322" spans="1:24" ht="15.75" customHeight="1">
      <c r="A322" s="14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</row>
    <row r="323" spans="1:24" ht="15.75" customHeight="1">
      <c r="A323" s="14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</row>
    <row r="324" spans="1:24" ht="15.75" customHeight="1">
      <c r="A324" s="14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</row>
    <row r="325" spans="1:24" ht="15.75" customHeight="1">
      <c r="A325" s="14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</row>
    <row r="326" spans="1:24" ht="15.75" customHeight="1">
      <c r="A326" s="14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</row>
    <row r="327" spans="1:24" ht="15.75" customHeight="1">
      <c r="A327" s="14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</row>
    <row r="328" spans="1:24" ht="15.75" customHeight="1">
      <c r="A328" s="14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</row>
    <row r="329" spans="1:24" ht="15.75" customHeight="1">
      <c r="A329" s="14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</row>
    <row r="330" spans="1:24" ht="15.75" customHeight="1">
      <c r="A330" s="14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</row>
    <row r="331" spans="1:24" ht="15.75" customHeight="1">
      <c r="A331" s="14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</row>
    <row r="332" spans="1:24" ht="15.75" customHeight="1">
      <c r="A332" s="14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</row>
    <row r="333" spans="1:24" ht="15.75" customHeight="1">
      <c r="A333" s="14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</row>
    <row r="334" spans="1:24" ht="15.75" customHeight="1">
      <c r="A334" s="14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</row>
    <row r="335" spans="1:24" ht="15.75" customHeight="1">
      <c r="A335" s="14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</row>
    <row r="336" spans="1:24" ht="15.75" customHeight="1">
      <c r="A336" s="14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</row>
    <row r="337" spans="1:24" ht="15.75" customHeight="1">
      <c r="A337" s="14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</row>
    <row r="338" spans="1:24" ht="15.75" customHeight="1">
      <c r="A338" s="14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</row>
    <row r="339" spans="1:24" ht="15.75" customHeight="1">
      <c r="A339" s="14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</row>
    <row r="340" spans="1:24" ht="15.75" customHeight="1">
      <c r="A340" s="14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</row>
    <row r="341" spans="1:24" ht="15.75" customHeight="1">
      <c r="A341" s="14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</row>
    <row r="342" spans="1:24" ht="15.75" customHeight="1">
      <c r="A342" s="14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</row>
    <row r="343" spans="1:24" ht="15.75" customHeight="1">
      <c r="A343" s="14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</row>
    <row r="344" spans="1:24" ht="15.75" customHeight="1">
      <c r="A344" s="14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</row>
    <row r="345" spans="1:24" ht="15.75" customHeight="1">
      <c r="A345" s="14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</row>
    <row r="346" spans="1:24" ht="15.75" customHeight="1">
      <c r="A346" s="14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</row>
    <row r="347" spans="1:24" ht="15.75" customHeight="1">
      <c r="A347" s="14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</row>
    <row r="348" spans="1:24" ht="15.75" customHeight="1">
      <c r="A348" s="14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</row>
    <row r="349" spans="1:24" ht="15.75" customHeight="1">
      <c r="A349" s="14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</row>
    <row r="350" spans="1:24" ht="15.75" customHeight="1">
      <c r="A350" s="14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</row>
    <row r="351" spans="1:24" ht="15.75" customHeight="1">
      <c r="A351" s="14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</row>
    <row r="352" spans="1:24" ht="15.75" customHeight="1">
      <c r="A352" s="14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</row>
    <row r="353" spans="1:24" ht="15.75" customHeight="1">
      <c r="A353" s="14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</row>
    <row r="354" spans="1:24" ht="15.75" customHeight="1">
      <c r="A354" s="14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</row>
    <row r="355" spans="1:24" ht="15.75" customHeight="1">
      <c r="A355" s="14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</row>
    <row r="356" spans="1:24" ht="15.75" customHeight="1">
      <c r="A356" s="14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</row>
    <row r="357" spans="1:24" ht="15.75" customHeight="1">
      <c r="A357" s="14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</row>
    <row r="358" spans="1:24" ht="15.75" customHeight="1">
      <c r="A358" s="14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</row>
    <row r="359" spans="1:24" ht="15.75" customHeight="1">
      <c r="A359" s="14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</row>
    <row r="360" spans="1:24" ht="15.75" customHeight="1">
      <c r="A360" s="14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</row>
    <row r="361" spans="1:24" ht="15.75" customHeight="1">
      <c r="A361" s="14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</row>
    <row r="362" spans="1:24" ht="15.75" customHeight="1">
      <c r="A362" s="14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</row>
    <row r="363" spans="1:24" ht="15.75" customHeight="1">
      <c r="A363" s="14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</row>
    <row r="364" spans="1:24" ht="15.75" customHeight="1">
      <c r="A364" s="14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</row>
    <row r="365" spans="1:24" ht="15.75" customHeight="1">
      <c r="A365" s="14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</row>
    <row r="366" spans="1:24" ht="15.75" customHeight="1">
      <c r="A366" s="14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</row>
    <row r="367" spans="1:24" ht="15.75" customHeight="1">
      <c r="A367" s="14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</row>
    <row r="368" spans="1:24" ht="15.75" customHeight="1">
      <c r="A368" s="14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</row>
    <row r="369" spans="1:24" ht="15.75" customHeight="1">
      <c r="A369" s="14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</row>
    <row r="370" spans="1:24" ht="15.75" customHeight="1">
      <c r="A370" s="14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</row>
    <row r="371" spans="1:24" ht="15.75" customHeight="1">
      <c r="A371" s="14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</row>
    <row r="372" spans="1:24" ht="15.75" customHeight="1">
      <c r="A372" s="14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</row>
    <row r="373" spans="1:24" ht="15.75" customHeight="1">
      <c r="A373" s="14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</row>
    <row r="374" spans="1:24" ht="15.75" customHeight="1">
      <c r="A374" s="14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</row>
    <row r="375" spans="1:24" ht="15.75" customHeight="1">
      <c r="A375" s="14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</row>
    <row r="376" spans="1:24" ht="15.75" customHeight="1">
      <c r="A376" s="14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</row>
    <row r="377" spans="1:24" ht="15.75" customHeight="1">
      <c r="A377" s="14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</row>
    <row r="378" spans="1:24" ht="15.75" customHeight="1">
      <c r="A378" s="14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</row>
    <row r="379" spans="1:24" ht="15.75" customHeight="1">
      <c r="A379" s="14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</row>
    <row r="380" spans="1:24" ht="15.75" customHeight="1">
      <c r="A380" s="14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</row>
    <row r="381" spans="1:24" ht="15.75" customHeight="1">
      <c r="A381" s="14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</row>
    <row r="382" spans="1:24" ht="15.75" customHeight="1">
      <c r="A382" s="14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</row>
    <row r="383" spans="1:24" ht="15.75" customHeight="1">
      <c r="A383" s="14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</row>
    <row r="384" spans="1:24" ht="15.75" customHeight="1">
      <c r="A384" s="14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</row>
    <row r="385" spans="1:24" ht="15.75" customHeight="1">
      <c r="A385" s="14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</row>
    <row r="386" spans="1:24" ht="15.75" customHeight="1">
      <c r="A386" s="14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</row>
    <row r="387" spans="1:24" ht="15.75" customHeight="1">
      <c r="A387" s="14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</row>
    <row r="388" spans="1:24" ht="15.75" customHeight="1">
      <c r="A388" s="14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</row>
    <row r="389" spans="1:24" ht="15.75" customHeight="1">
      <c r="A389" s="14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</row>
    <row r="390" spans="1:24" ht="15.75" customHeight="1">
      <c r="A390" s="14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</row>
    <row r="391" spans="1:24" ht="15.75" customHeight="1">
      <c r="A391" s="14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</row>
    <row r="392" spans="1:24" ht="15.75" customHeight="1">
      <c r="A392" s="14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</row>
    <row r="393" spans="1:24" ht="15.75" customHeight="1">
      <c r="A393" s="14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</row>
    <row r="394" spans="1:24" ht="15.75" customHeight="1">
      <c r="A394" s="14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</row>
    <row r="395" spans="1:24" ht="15.75" customHeight="1">
      <c r="A395" s="14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</row>
    <row r="396" spans="1:24" ht="15.75" customHeight="1">
      <c r="A396" s="14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</row>
    <row r="397" spans="1:24" ht="15.75" customHeight="1">
      <c r="A397" s="14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</row>
    <row r="398" spans="1:24" ht="15.75" customHeight="1">
      <c r="A398" s="14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</row>
    <row r="399" spans="1:24" ht="15.75" customHeight="1">
      <c r="A399" s="14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</row>
    <row r="400" spans="1:24" ht="15.75" customHeight="1">
      <c r="A400" s="14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</row>
    <row r="401" spans="1:24" ht="15.75" customHeight="1">
      <c r="A401" s="14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</row>
    <row r="402" spans="1:24" ht="15.75" customHeight="1">
      <c r="A402" s="14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</row>
    <row r="403" spans="1:24" ht="15.75" customHeight="1">
      <c r="A403" s="14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</row>
    <row r="404" spans="1:24" ht="15.75" customHeight="1">
      <c r="A404" s="14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</row>
    <row r="405" spans="1:24" ht="15.75" customHeight="1">
      <c r="A405" s="14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</row>
    <row r="406" spans="1:24" ht="15.75" customHeight="1">
      <c r="A406" s="14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</row>
    <row r="407" spans="1:24" ht="15.75" customHeight="1">
      <c r="A407" s="14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</row>
    <row r="408" spans="1:24" ht="15.75" customHeight="1">
      <c r="A408" s="14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</row>
    <row r="409" spans="1:24" ht="15.75" customHeight="1">
      <c r="A409" s="14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</row>
    <row r="410" spans="1:24" ht="15.75" customHeight="1">
      <c r="A410" s="14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</row>
    <row r="411" spans="1:24" ht="15.75" customHeight="1">
      <c r="A411" s="14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</row>
    <row r="412" spans="1:24" ht="15.75" customHeight="1">
      <c r="A412" s="14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</row>
    <row r="413" spans="1:24" ht="15.75" customHeight="1">
      <c r="A413" s="14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</row>
    <row r="414" spans="1:24" ht="15.75" customHeight="1">
      <c r="A414" s="14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</row>
    <row r="415" spans="1:24" ht="15.75" customHeight="1">
      <c r="A415" s="14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</row>
    <row r="416" spans="1:24" ht="15.75" customHeight="1">
      <c r="A416" s="14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</row>
    <row r="417" spans="1:24" ht="15.75" customHeight="1">
      <c r="A417" s="14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</row>
    <row r="418" spans="1:24" ht="15.75" customHeight="1">
      <c r="A418" s="14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</row>
    <row r="419" spans="1:24" ht="15.75" customHeight="1">
      <c r="A419" s="14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</row>
    <row r="420" spans="1:24" ht="15.75" customHeight="1">
      <c r="A420" s="14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</row>
    <row r="421" spans="1:24" ht="15.75" customHeight="1">
      <c r="A421" s="14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</row>
    <row r="422" spans="1:24" ht="15.75" customHeight="1">
      <c r="A422" s="14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</row>
    <row r="423" spans="1:24" ht="15.75" customHeight="1">
      <c r="A423" s="14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</row>
    <row r="424" spans="1:24" ht="15.75" customHeight="1">
      <c r="A424" s="14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</row>
    <row r="425" spans="1:24" ht="15.75" customHeight="1">
      <c r="A425" s="14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</row>
    <row r="426" spans="1:24" ht="15.75" customHeight="1">
      <c r="A426" s="14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</row>
    <row r="427" spans="1:24" ht="15.75" customHeight="1">
      <c r="A427" s="14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</row>
    <row r="428" spans="1:24" ht="15.75" customHeight="1">
      <c r="A428" s="14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</row>
    <row r="429" spans="1:24" ht="15.75" customHeight="1">
      <c r="A429" s="14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</row>
    <row r="430" spans="1:24" ht="15.75" customHeight="1">
      <c r="A430" s="14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</row>
    <row r="431" spans="1:24" ht="15.75" customHeight="1">
      <c r="A431" s="14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</row>
    <row r="432" spans="1:24" ht="15.75" customHeight="1">
      <c r="A432" s="14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</row>
    <row r="433" spans="1:24" ht="15.75" customHeight="1">
      <c r="A433" s="14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</row>
    <row r="434" spans="1:24" ht="15.75" customHeight="1">
      <c r="A434" s="14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</row>
    <row r="435" spans="1:24" ht="15.75" customHeight="1">
      <c r="A435" s="14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</row>
    <row r="436" spans="1:24" ht="15.75" customHeight="1">
      <c r="A436" s="14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</row>
    <row r="437" spans="1:24" ht="15.75" customHeight="1">
      <c r="A437" s="14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</row>
    <row r="438" spans="1:24" ht="15.75" customHeight="1">
      <c r="A438" s="14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</row>
    <row r="439" spans="1:24" ht="15.75" customHeight="1">
      <c r="A439" s="14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</row>
    <row r="440" spans="1:24" ht="15.75" customHeight="1">
      <c r="A440" s="14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</row>
    <row r="441" spans="1:24" ht="15.75" customHeight="1">
      <c r="A441" s="14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</row>
    <row r="442" spans="1:24" ht="15.75" customHeight="1">
      <c r="A442" s="14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</row>
    <row r="443" spans="1:24" ht="15.75" customHeight="1">
      <c r="A443" s="14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</row>
    <row r="444" spans="1:24" ht="15.75" customHeight="1">
      <c r="A444" s="14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</row>
    <row r="445" spans="1:24" ht="15.75" customHeight="1">
      <c r="A445" s="14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</row>
    <row r="446" spans="1:24" ht="15.75" customHeight="1">
      <c r="A446" s="14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</row>
    <row r="447" spans="1:24" ht="15.75" customHeight="1">
      <c r="A447" s="14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</row>
    <row r="448" spans="1:24" ht="15.75" customHeight="1">
      <c r="A448" s="14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</row>
    <row r="449" spans="1:24" ht="15.75" customHeight="1">
      <c r="A449" s="14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</row>
    <row r="450" spans="1:24" ht="15.75" customHeight="1">
      <c r="A450" s="14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</row>
    <row r="451" spans="1:24" ht="15.75" customHeight="1">
      <c r="A451" s="14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</row>
    <row r="452" spans="1:24" ht="15.75" customHeight="1">
      <c r="A452" s="14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</row>
    <row r="453" spans="1:24" ht="15.75" customHeight="1">
      <c r="A453" s="14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</row>
    <row r="454" spans="1:24" ht="15.75" customHeight="1">
      <c r="A454" s="14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</row>
    <row r="455" spans="1:24" ht="15.75" customHeight="1">
      <c r="A455" s="14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</row>
    <row r="456" spans="1:24" ht="15.75" customHeight="1">
      <c r="A456" s="14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</row>
    <row r="457" spans="1:24" ht="15.75" customHeight="1">
      <c r="A457" s="14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</row>
    <row r="458" spans="1:24" ht="15.75" customHeight="1">
      <c r="A458" s="14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</row>
    <row r="459" spans="1:24" ht="15.75" customHeight="1">
      <c r="A459" s="14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</row>
    <row r="460" spans="1:24" ht="15.75" customHeight="1">
      <c r="A460" s="14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</row>
    <row r="461" spans="1:24" ht="15.75" customHeight="1">
      <c r="A461" s="14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</row>
    <row r="462" spans="1:24" ht="15.75" customHeight="1">
      <c r="A462" s="14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</row>
    <row r="463" spans="1:24" ht="15.75" customHeight="1">
      <c r="A463" s="14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</row>
    <row r="464" spans="1:24" ht="15.75" customHeight="1">
      <c r="A464" s="14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</row>
    <row r="465" spans="1:24" ht="15.75" customHeight="1">
      <c r="A465" s="14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</row>
    <row r="466" spans="1:24" ht="15.75" customHeight="1">
      <c r="A466" s="14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</row>
    <row r="467" spans="1:24" ht="15.75" customHeight="1">
      <c r="A467" s="14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</row>
    <row r="468" spans="1:24" ht="15.75" customHeight="1">
      <c r="A468" s="14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</row>
    <row r="469" spans="1:24" ht="15.75" customHeight="1">
      <c r="A469" s="14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</row>
    <row r="470" spans="1:24" ht="15.75" customHeight="1">
      <c r="A470" s="14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</row>
    <row r="471" spans="1:24" ht="15.75" customHeight="1">
      <c r="A471" s="14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</row>
    <row r="472" spans="1:24" ht="15.75" customHeight="1">
      <c r="A472" s="14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</row>
    <row r="473" spans="1:24" ht="15.75" customHeight="1">
      <c r="A473" s="14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</row>
    <row r="474" spans="1:24" ht="15.75" customHeight="1">
      <c r="A474" s="14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</row>
    <row r="475" spans="1:24" ht="15.75" customHeight="1">
      <c r="A475" s="14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</row>
    <row r="476" spans="1:24" ht="15.75" customHeight="1">
      <c r="A476" s="14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</row>
    <row r="477" spans="1:24" ht="15.75" customHeight="1">
      <c r="A477" s="14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</row>
    <row r="478" spans="1:24" ht="15.75" customHeight="1">
      <c r="A478" s="14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</row>
    <row r="479" spans="1:24" ht="15.75" customHeight="1">
      <c r="A479" s="14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</row>
    <row r="480" spans="1:24" ht="15.75" customHeight="1">
      <c r="A480" s="14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</row>
    <row r="481" spans="1:24" ht="15.75" customHeight="1">
      <c r="A481" s="14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</row>
    <row r="482" spans="1:24" ht="15.75" customHeight="1">
      <c r="A482" s="14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</row>
    <row r="483" spans="1:24" ht="15.75" customHeight="1">
      <c r="A483" s="14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</row>
    <row r="484" spans="1:24" ht="15.75" customHeight="1">
      <c r="A484" s="14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</row>
    <row r="485" spans="1:24" ht="15.75" customHeight="1">
      <c r="A485" s="14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</row>
    <row r="486" spans="1:24" ht="15.75" customHeight="1">
      <c r="A486" s="14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</row>
    <row r="487" spans="1:24" ht="15.75" customHeight="1">
      <c r="A487" s="14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</row>
    <row r="488" spans="1:24" ht="15.75" customHeight="1">
      <c r="A488" s="14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</row>
    <row r="489" spans="1:24" ht="15.75" customHeight="1">
      <c r="A489" s="14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</row>
    <row r="490" spans="1:24" ht="15.75" customHeight="1">
      <c r="A490" s="14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</row>
    <row r="491" spans="1:24" ht="15.75" customHeight="1">
      <c r="A491" s="14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</row>
    <row r="492" spans="1:24" ht="15.75" customHeight="1">
      <c r="A492" s="14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</row>
    <row r="493" spans="1:24" ht="15.75" customHeight="1">
      <c r="A493" s="14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</row>
    <row r="494" spans="1:24" ht="15.75" customHeight="1">
      <c r="A494" s="14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</row>
    <row r="495" spans="1:24" ht="15.75" customHeight="1">
      <c r="A495" s="14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</row>
    <row r="496" spans="1:24" ht="15.75" customHeight="1">
      <c r="A496" s="14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</row>
    <row r="497" spans="1:24" ht="15.75" customHeight="1">
      <c r="A497" s="14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</row>
    <row r="498" spans="1:24" ht="15.75" customHeight="1">
      <c r="A498" s="14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</row>
    <row r="499" spans="1:24" ht="15.75" customHeight="1">
      <c r="A499" s="14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</row>
    <row r="500" spans="1:24" ht="15.75" customHeight="1">
      <c r="A500" s="14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</row>
    <row r="501" spans="1:24" ht="15.75" customHeight="1">
      <c r="A501" s="14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</row>
    <row r="502" spans="1:24" ht="15.75" customHeight="1">
      <c r="A502" s="14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</row>
    <row r="503" spans="1:24" ht="15.75" customHeight="1">
      <c r="A503" s="14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</row>
    <row r="504" spans="1:24" ht="15.75" customHeight="1">
      <c r="A504" s="14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</row>
    <row r="505" spans="1:24" ht="15.75" customHeight="1">
      <c r="A505" s="14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</row>
    <row r="506" spans="1:24" ht="15.75" customHeight="1">
      <c r="A506" s="14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</row>
    <row r="507" spans="1:24" ht="15.75" customHeight="1">
      <c r="A507" s="14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</row>
    <row r="508" spans="1:24" ht="15.75" customHeight="1">
      <c r="A508" s="14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</row>
    <row r="509" spans="1:24" ht="15.75" customHeight="1">
      <c r="A509" s="14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</row>
    <row r="510" spans="1:24" ht="15.75" customHeight="1">
      <c r="A510" s="14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</row>
    <row r="511" spans="1:24" ht="15.75" customHeight="1">
      <c r="A511" s="14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</row>
    <row r="512" spans="1:24" ht="15.75" customHeight="1">
      <c r="A512" s="14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</row>
    <row r="513" spans="1:24" ht="15.75" customHeight="1">
      <c r="A513" s="14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</row>
    <row r="514" spans="1:24" ht="15.75" customHeight="1">
      <c r="A514" s="14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</row>
    <row r="515" spans="1:24" ht="15.75" customHeight="1">
      <c r="A515" s="14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</row>
    <row r="516" spans="1:24" ht="15.75" customHeight="1">
      <c r="A516" s="14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</row>
    <row r="517" spans="1:24" ht="15.75" customHeight="1">
      <c r="A517" s="14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</row>
    <row r="518" spans="1:24" ht="15.75" customHeight="1">
      <c r="A518" s="14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</row>
    <row r="519" spans="1:24" ht="15.75" customHeight="1">
      <c r="A519" s="14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</row>
    <row r="520" spans="1:24" ht="15.75" customHeight="1">
      <c r="A520" s="14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</row>
    <row r="521" spans="1:24" ht="15.75" customHeight="1">
      <c r="A521" s="14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</row>
    <row r="522" spans="1:24" ht="15.75" customHeight="1">
      <c r="A522" s="14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</row>
    <row r="523" spans="1:24" ht="15.75" customHeight="1">
      <c r="A523" s="14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</row>
    <row r="524" spans="1:24" ht="15.75" customHeight="1">
      <c r="A524" s="14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</row>
    <row r="525" spans="1:24" ht="15.75" customHeight="1">
      <c r="A525" s="14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</row>
    <row r="526" spans="1:24" ht="15.75" customHeight="1">
      <c r="A526" s="14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</row>
    <row r="527" spans="1:24" ht="15.75" customHeight="1">
      <c r="A527" s="14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</row>
    <row r="528" spans="1:24" ht="15.75" customHeight="1">
      <c r="A528" s="14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</row>
    <row r="529" spans="1:24" ht="15.75" customHeight="1">
      <c r="A529" s="14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</row>
    <row r="530" spans="1:24" ht="15.75" customHeight="1">
      <c r="A530" s="14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</row>
    <row r="531" spans="1:24" ht="15.75" customHeight="1">
      <c r="A531" s="14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</row>
    <row r="532" spans="1:24" ht="15.75" customHeight="1">
      <c r="A532" s="14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</row>
    <row r="533" spans="1:24" ht="15.75" customHeight="1">
      <c r="A533" s="14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</row>
    <row r="534" spans="1:24" ht="15.75" customHeight="1">
      <c r="A534" s="14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</row>
    <row r="535" spans="1:24" ht="15.75" customHeight="1">
      <c r="A535" s="14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</row>
    <row r="536" spans="1:24" ht="15.75" customHeight="1">
      <c r="A536" s="14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</row>
    <row r="537" spans="1:24" ht="15.75" customHeight="1">
      <c r="A537" s="14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</row>
    <row r="538" spans="1:24" ht="15.75" customHeight="1">
      <c r="A538" s="14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</row>
    <row r="539" spans="1:24" ht="15.75" customHeight="1">
      <c r="A539" s="14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</row>
    <row r="540" spans="1:24" ht="15.75" customHeight="1">
      <c r="A540" s="14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</row>
    <row r="541" spans="1:24" ht="15.75" customHeight="1">
      <c r="A541" s="14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</row>
    <row r="542" spans="1:24" ht="15.75" customHeight="1">
      <c r="A542" s="14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</row>
    <row r="543" spans="1:24" ht="15.75" customHeight="1">
      <c r="A543" s="14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</row>
    <row r="544" spans="1:24" ht="15.75" customHeight="1">
      <c r="A544" s="14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</row>
    <row r="545" spans="1:24" ht="15.75" customHeight="1">
      <c r="A545" s="14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</row>
    <row r="546" spans="1:24" ht="15.75" customHeight="1">
      <c r="A546" s="14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</row>
    <row r="547" spans="1:24" ht="15.75" customHeight="1">
      <c r="A547" s="14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</row>
    <row r="548" spans="1:24" ht="15.75" customHeight="1">
      <c r="A548" s="14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</row>
    <row r="549" spans="1:24" ht="15.75" customHeight="1">
      <c r="A549" s="14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</row>
    <row r="550" spans="1:24" ht="15.75" customHeight="1">
      <c r="A550" s="14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</row>
    <row r="551" spans="1:24" ht="15.75" customHeight="1">
      <c r="A551" s="14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</row>
    <row r="552" spans="1:24" ht="15.75" customHeight="1">
      <c r="A552" s="14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</row>
    <row r="553" spans="1:24" ht="15.75" customHeight="1">
      <c r="A553" s="14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</row>
    <row r="554" spans="1:24" ht="15.75" customHeight="1">
      <c r="A554" s="14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</row>
    <row r="555" spans="1:24" ht="15.75" customHeight="1">
      <c r="A555" s="14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</row>
    <row r="556" spans="1:24" ht="15.75" customHeight="1">
      <c r="A556" s="14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</row>
    <row r="557" spans="1:24" ht="15.75" customHeight="1">
      <c r="A557" s="14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</row>
    <row r="558" spans="1:24" ht="15.75" customHeight="1">
      <c r="A558" s="14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</row>
    <row r="559" spans="1:24" ht="15.75" customHeight="1">
      <c r="A559" s="14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</row>
    <row r="560" spans="1:24" ht="15.75" customHeight="1">
      <c r="A560" s="14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</row>
    <row r="561" spans="1:24" ht="15.75" customHeight="1">
      <c r="A561" s="14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</row>
    <row r="562" spans="1:24" ht="15.75" customHeight="1">
      <c r="A562" s="14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</row>
    <row r="563" spans="1:24" ht="15.75" customHeight="1">
      <c r="A563" s="14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</row>
    <row r="564" spans="1:24" ht="15.75" customHeight="1">
      <c r="A564" s="14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</row>
    <row r="565" spans="1:24" ht="15.75" customHeight="1">
      <c r="A565" s="14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</row>
    <row r="566" spans="1:24" ht="15.75" customHeight="1">
      <c r="A566" s="14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</row>
    <row r="567" spans="1:24" ht="15.75" customHeight="1">
      <c r="A567" s="14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</row>
    <row r="568" spans="1:24" ht="15.75" customHeight="1">
      <c r="A568" s="14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</row>
    <row r="569" spans="1:24" ht="15.75" customHeight="1">
      <c r="A569" s="14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</row>
    <row r="570" spans="1:24" ht="15.75" customHeight="1">
      <c r="A570" s="14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</row>
    <row r="571" spans="1:24" ht="15.75" customHeight="1">
      <c r="A571" s="14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</row>
    <row r="572" spans="1:24" ht="15.75" customHeight="1">
      <c r="A572" s="14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</row>
    <row r="573" spans="1:24" ht="15.75" customHeight="1">
      <c r="A573" s="14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</row>
    <row r="574" spans="1:24" ht="15.75" customHeight="1">
      <c r="A574" s="14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</row>
    <row r="575" spans="1:24" ht="15.75" customHeight="1">
      <c r="A575" s="14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</row>
    <row r="576" spans="1:24" ht="15.75" customHeight="1">
      <c r="A576" s="14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</row>
    <row r="577" spans="1:24" ht="15.75" customHeight="1">
      <c r="A577" s="14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</row>
    <row r="578" spans="1:24" ht="15.75" customHeight="1">
      <c r="A578" s="14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</row>
    <row r="579" spans="1:24" ht="15.75" customHeight="1">
      <c r="A579" s="14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</row>
    <row r="580" spans="1:24" ht="15.75" customHeight="1">
      <c r="A580" s="14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</row>
    <row r="581" spans="1:24" ht="15.75" customHeight="1">
      <c r="A581" s="14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</row>
    <row r="582" spans="1:24" ht="15.75" customHeight="1">
      <c r="A582" s="14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</row>
    <row r="583" spans="1:24" ht="15.75" customHeight="1">
      <c r="A583" s="14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</row>
    <row r="584" spans="1:24" ht="15.75" customHeight="1">
      <c r="A584" s="14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</row>
    <row r="585" spans="1:24" ht="15.75" customHeight="1">
      <c r="A585" s="14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</row>
    <row r="586" spans="1:24" ht="15.75" customHeight="1">
      <c r="A586" s="14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</row>
    <row r="587" spans="1:24" ht="15.75" customHeight="1">
      <c r="A587" s="14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</row>
    <row r="588" spans="1:24" ht="15.75" customHeight="1">
      <c r="A588" s="14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</row>
    <row r="589" spans="1:24" ht="15.75" customHeight="1">
      <c r="A589" s="14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</row>
    <row r="590" spans="1:24" ht="15.75" customHeight="1">
      <c r="A590" s="14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</row>
    <row r="591" spans="1:24" ht="15.75" customHeight="1">
      <c r="A591" s="14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</row>
    <row r="592" spans="1:24" ht="15.75" customHeight="1">
      <c r="A592" s="14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</row>
    <row r="593" spans="1:24" ht="15.75" customHeight="1">
      <c r="A593" s="14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</row>
    <row r="594" spans="1:24" ht="15.75" customHeight="1">
      <c r="A594" s="14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</row>
    <row r="595" spans="1:24" ht="15.75" customHeight="1">
      <c r="A595" s="14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</row>
    <row r="596" spans="1:24" ht="15.75" customHeight="1">
      <c r="A596" s="14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</row>
    <row r="597" spans="1:24" ht="15.75" customHeight="1">
      <c r="A597" s="14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</row>
    <row r="598" spans="1:24" ht="15.75" customHeight="1">
      <c r="A598" s="14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</row>
    <row r="599" spans="1:24" ht="15.75" customHeight="1">
      <c r="A599" s="14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</row>
    <row r="600" spans="1:24" ht="15.75" customHeight="1">
      <c r="A600" s="14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</row>
    <row r="601" spans="1:24" ht="15.75" customHeight="1">
      <c r="A601" s="14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</row>
    <row r="602" spans="1:24" ht="15.75" customHeight="1">
      <c r="A602" s="14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</row>
    <row r="603" spans="1:24" ht="15.75" customHeight="1">
      <c r="A603" s="14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</row>
    <row r="604" spans="1:24" ht="15.75" customHeight="1">
      <c r="A604" s="14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</row>
    <row r="605" spans="1:24" ht="15.75" customHeight="1">
      <c r="A605" s="14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</row>
    <row r="606" spans="1:24" ht="15.75" customHeight="1">
      <c r="A606" s="14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</row>
    <row r="607" spans="1:24" ht="15.75" customHeight="1">
      <c r="A607" s="14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</row>
    <row r="608" spans="1:24" ht="15.75" customHeight="1">
      <c r="A608" s="14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</row>
    <row r="609" spans="1:24" ht="15.75" customHeight="1">
      <c r="A609" s="14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</row>
    <row r="610" spans="1:24" ht="15.75" customHeight="1">
      <c r="A610" s="14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</row>
    <row r="611" spans="1:24" ht="15.75" customHeight="1">
      <c r="A611" s="14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</row>
    <row r="612" spans="1:24" ht="15.75" customHeight="1">
      <c r="A612" s="14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</row>
    <row r="613" spans="1:24" ht="15.75" customHeight="1">
      <c r="A613" s="14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</row>
    <row r="614" spans="1:24" ht="15.75" customHeight="1">
      <c r="A614" s="14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</row>
    <row r="615" spans="1:24" ht="15.75" customHeight="1">
      <c r="A615" s="14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</row>
    <row r="616" spans="1:24" ht="15.75" customHeight="1">
      <c r="A616" s="14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</row>
    <row r="617" spans="1:24" ht="15.75" customHeight="1">
      <c r="A617" s="14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</row>
    <row r="618" spans="1:24" ht="15.75" customHeight="1">
      <c r="A618" s="14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</row>
    <row r="619" spans="1:24" ht="15.75" customHeight="1">
      <c r="A619" s="14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</row>
    <row r="620" spans="1:24" ht="15.75" customHeight="1">
      <c r="A620" s="14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</row>
    <row r="621" spans="1:24" ht="15.75" customHeight="1">
      <c r="A621" s="14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</row>
    <row r="622" spans="1:24" ht="15.75" customHeight="1">
      <c r="A622" s="14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</row>
    <row r="623" spans="1:24" ht="15.75" customHeight="1">
      <c r="A623" s="14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</row>
    <row r="624" spans="1:24" ht="15.75" customHeight="1">
      <c r="A624" s="14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</row>
    <row r="625" spans="1:24" ht="15.75" customHeight="1">
      <c r="A625" s="14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</row>
    <row r="626" spans="1:24" ht="15.75" customHeight="1">
      <c r="A626" s="14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</row>
    <row r="627" spans="1:24" ht="15.75" customHeight="1">
      <c r="A627" s="14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</row>
    <row r="628" spans="1:24" ht="15.75" customHeight="1">
      <c r="A628" s="14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</row>
    <row r="629" spans="1:24" ht="15.75" customHeight="1">
      <c r="A629" s="14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</row>
    <row r="630" spans="1:24" ht="15.75" customHeight="1">
      <c r="A630" s="14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</row>
    <row r="631" spans="1:24" ht="15.75" customHeight="1">
      <c r="A631" s="14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</row>
    <row r="632" spans="1:24" ht="15.75" customHeight="1">
      <c r="A632" s="14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</row>
    <row r="633" spans="1:24" ht="15.75" customHeight="1">
      <c r="A633" s="14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</row>
    <row r="634" spans="1:24" ht="15.75" customHeight="1">
      <c r="A634" s="14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</row>
    <row r="635" spans="1:24" ht="15.75" customHeight="1">
      <c r="A635" s="14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</row>
    <row r="636" spans="1:24" ht="15.75" customHeight="1">
      <c r="A636" s="14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</row>
    <row r="637" spans="1:24" ht="15.75" customHeight="1">
      <c r="A637" s="14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</row>
    <row r="638" spans="1:24" ht="15.75" customHeight="1">
      <c r="A638" s="14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</row>
    <row r="639" spans="1:24" ht="15.75" customHeight="1">
      <c r="A639" s="14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</row>
    <row r="640" spans="1:24" ht="15.75" customHeight="1">
      <c r="A640" s="14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</row>
    <row r="641" spans="1:24" ht="15.75" customHeight="1">
      <c r="A641" s="14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</row>
    <row r="642" spans="1:24" ht="15.75" customHeight="1">
      <c r="A642" s="14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</row>
    <row r="643" spans="1:24" ht="15.75" customHeight="1">
      <c r="A643" s="14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</row>
    <row r="644" spans="1:24" ht="15.75" customHeight="1">
      <c r="A644" s="14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</row>
    <row r="645" spans="1:24" ht="15.75" customHeight="1">
      <c r="A645" s="14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</row>
    <row r="646" spans="1:24" ht="15.75" customHeight="1">
      <c r="A646" s="14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</row>
    <row r="647" spans="1:24" ht="15.75" customHeight="1">
      <c r="A647" s="14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</row>
    <row r="648" spans="1:24" ht="15.75" customHeight="1">
      <c r="A648" s="14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</row>
    <row r="649" spans="1:24" ht="15.75" customHeight="1">
      <c r="A649" s="14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</row>
    <row r="650" spans="1:24" ht="15.75" customHeight="1">
      <c r="A650" s="14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</row>
    <row r="651" spans="1:24" ht="15.75" customHeight="1">
      <c r="A651" s="14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</row>
    <row r="652" spans="1:24" ht="15.75" customHeight="1">
      <c r="A652" s="14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</row>
    <row r="653" spans="1:24" ht="15.75" customHeight="1">
      <c r="A653" s="14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</row>
    <row r="654" spans="1:24" ht="15.75" customHeight="1">
      <c r="A654" s="14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</row>
    <row r="655" spans="1:24" ht="15.75" customHeight="1">
      <c r="A655" s="14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</row>
    <row r="656" spans="1:24" ht="15.75" customHeight="1">
      <c r="A656" s="14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</row>
    <row r="657" spans="1:24" ht="15.75" customHeight="1">
      <c r="A657" s="14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</row>
    <row r="658" spans="1:24" ht="15.75" customHeight="1">
      <c r="A658" s="14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</row>
    <row r="659" spans="1:24" ht="15.75" customHeight="1">
      <c r="A659" s="14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</row>
    <row r="660" spans="1:24" ht="15.75" customHeight="1">
      <c r="A660" s="14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</row>
    <row r="661" spans="1:24" ht="15.75" customHeight="1">
      <c r="A661" s="14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</row>
    <row r="662" spans="1:24" ht="15.75" customHeight="1">
      <c r="A662" s="14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</row>
    <row r="663" spans="1:24" ht="15.75" customHeight="1">
      <c r="A663" s="14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</row>
    <row r="664" spans="1:24" ht="15.75" customHeight="1">
      <c r="A664" s="14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</row>
    <row r="665" spans="1:24" ht="15.75" customHeight="1">
      <c r="A665" s="14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</row>
    <row r="666" spans="1:24" ht="15.75" customHeight="1">
      <c r="A666" s="14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</row>
    <row r="667" spans="1:24" ht="15.75" customHeight="1">
      <c r="A667" s="14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</row>
    <row r="668" spans="1:24" ht="15.75" customHeight="1">
      <c r="A668" s="14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</row>
    <row r="669" spans="1:24" ht="15.75" customHeight="1">
      <c r="A669" s="14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</row>
    <row r="670" spans="1:24" ht="15.75" customHeight="1">
      <c r="A670" s="14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</row>
    <row r="671" spans="1:24" ht="15.75" customHeight="1">
      <c r="A671" s="14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</row>
    <row r="672" spans="1:24" ht="15.75" customHeight="1">
      <c r="A672" s="14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</row>
    <row r="673" spans="1:24" ht="15.75" customHeight="1">
      <c r="A673" s="14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</row>
    <row r="674" spans="1:24" ht="15.75" customHeight="1">
      <c r="A674" s="14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</row>
    <row r="675" spans="1:24" ht="15.75" customHeight="1">
      <c r="A675" s="14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</row>
    <row r="676" spans="1:24" ht="15.75" customHeight="1">
      <c r="A676" s="14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</row>
    <row r="677" spans="1:24" ht="15.75" customHeight="1">
      <c r="A677" s="14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</row>
    <row r="678" spans="1:24" ht="15.75" customHeight="1">
      <c r="A678" s="14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</row>
    <row r="679" spans="1:24" ht="15.75" customHeight="1">
      <c r="A679" s="14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</row>
    <row r="680" spans="1:24" ht="15.75" customHeight="1">
      <c r="A680" s="14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</row>
    <row r="681" spans="1:24" ht="15.75" customHeight="1">
      <c r="A681" s="14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</row>
    <row r="682" spans="1:24" ht="15.75" customHeight="1">
      <c r="A682" s="14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</row>
    <row r="683" spans="1:24" ht="15.75" customHeight="1">
      <c r="A683" s="14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</row>
    <row r="684" spans="1:24" ht="15.75" customHeight="1">
      <c r="A684" s="14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</row>
    <row r="685" spans="1:24" ht="15.75" customHeight="1">
      <c r="A685" s="14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</row>
    <row r="686" spans="1:24" ht="15.75" customHeight="1">
      <c r="A686" s="14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</row>
    <row r="687" spans="1:24" ht="15.75" customHeight="1">
      <c r="A687" s="14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</row>
    <row r="688" spans="1:24" ht="15.75" customHeight="1">
      <c r="A688" s="14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</row>
    <row r="689" spans="1:24" ht="15.75" customHeight="1">
      <c r="A689" s="14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</row>
    <row r="690" spans="1:24" ht="15.75" customHeight="1">
      <c r="A690" s="14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</row>
    <row r="691" spans="1:24" ht="15.75" customHeight="1">
      <c r="A691" s="14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</row>
    <row r="692" spans="1:24" ht="15.75" customHeight="1">
      <c r="A692" s="14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</row>
    <row r="693" spans="1:24" ht="15.75" customHeight="1">
      <c r="A693" s="14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</row>
    <row r="694" spans="1:24" ht="15.75" customHeight="1">
      <c r="A694" s="14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</row>
    <row r="695" spans="1:24" ht="15.75" customHeight="1">
      <c r="A695" s="14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</row>
    <row r="696" spans="1:24" ht="15.75" customHeight="1">
      <c r="A696" s="14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</row>
    <row r="697" spans="1:24" ht="15.75" customHeight="1">
      <c r="A697" s="14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</row>
    <row r="698" spans="1:24" ht="15.75" customHeight="1">
      <c r="A698" s="14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</row>
    <row r="699" spans="1:24" ht="15.75" customHeight="1">
      <c r="A699" s="14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</row>
    <row r="700" spans="1:24" ht="15.75" customHeight="1">
      <c r="A700" s="14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</row>
    <row r="701" spans="1:24" ht="15.75" customHeight="1">
      <c r="A701" s="14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</row>
    <row r="702" spans="1:24" ht="15.75" customHeight="1">
      <c r="A702" s="14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</row>
    <row r="703" spans="1:24" ht="15.75" customHeight="1">
      <c r="A703" s="14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</row>
    <row r="704" spans="1:24" ht="15.75" customHeight="1">
      <c r="A704" s="14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</row>
    <row r="705" spans="1:24" ht="15.75" customHeight="1">
      <c r="A705" s="14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</row>
    <row r="706" spans="1:24" ht="15.75" customHeight="1">
      <c r="A706" s="14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</row>
    <row r="707" spans="1:24" ht="15.75" customHeight="1">
      <c r="A707" s="14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</row>
    <row r="708" spans="1:24" ht="15.75" customHeight="1">
      <c r="A708" s="14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</row>
    <row r="709" spans="1:24" ht="15.75" customHeight="1">
      <c r="A709" s="14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</row>
    <row r="710" spans="1:24" ht="15.75" customHeight="1">
      <c r="A710" s="14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</row>
    <row r="711" spans="1:24" ht="15.75" customHeight="1">
      <c r="A711" s="14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</row>
    <row r="712" spans="1:24" ht="15.75" customHeight="1">
      <c r="A712" s="14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</row>
    <row r="713" spans="1:24" ht="15.75" customHeight="1">
      <c r="A713" s="14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</row>
    <row r="714" spans="1:24" ht="15.75" customHeight="1">
      <c r="A714" s="14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</row>
    <row r="715" spans="1:24" ht="15.75" customHeight="1">
      <c r="A715" s="14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</row>
    <row r="716" spans="1:24" ht="15.75" customHeight="1">
      <c r="A716" s="14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</row>
    <row r="717" spans="1:24" ht="15.75" customHeight="1">
      <c r="A717" s="14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</row>
    <row r="718" spans="1:24" ht="15.75" customHeight="1">
      <c r="A718" s="14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</row>
    <row r="719" spans="1:24" ht="15.75" customHeight="1">
      <c r="A719" s="14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</row>
    <row r="720" spans="1:24" ht="15.75" customHeight="1">
      <c r="A720" s="14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</row>
    <row r="721" spans="1:24" ht="15.75" customHeight="1">
      <c r="A721" s="14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</row>
    <row r="722" spans="1:24" ht="15.75" customHeight="1">
      <c r="A722" s="14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</row>
    <row r="723" spans="1:24" ht="15.75" customHeight="1">
      <c r="A723" s="14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</row>
    <row r="724" spans="1:24" ht="15.75" customHeight="1">
      <c r="A724" s="14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</row>
    <row r="725" spans="1:24" ht="15.75" customHeight="1">
      <c r="A725" s="14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</row>
    <row r="726" spans="1:24" ht="15.75" customHeight="1">
      <c r="A726" s="14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</row>
    <row r="727" spans="1:24" ht="15.75" customHeight="1">
      <c r="A727" s="14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</row>
    <row r="728" spans="1:24" ht="15.75" customHeight="1">
      <c r="A728" s="14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</row>
    <row r="729" spans="1:24" ht="15.75" customHeight="1">
      <c r="A729" s="14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</row>
    <row r="730" spans="1:24" ht="15.75" customHeight="1">
      <c r="A730" s="14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</row>
    <row r="731" spans="1:24" ht="15.75" customHeight="1">
      <c r="A731" s="14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</row>
    <row r="732" spans="1:24" ht="15.75" customHeight="1">
      <c r="A732" s="14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</row>
    <row r="733" spans="1:24" ht="15.75" customHeight="1">
      <c r="A733" s="14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</row>
    <row r="734" spans="1:24" ht="15.75" customHeight="1">
      <c r="A734" s="14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</row>
    <row r="735" spans="1:24" ht="15.75" customHeight="1">
      <c r="A735" s="14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</row>
    <row r="736" spans="1:24" ht="15.75" customHeight="1">
      <c r="A736" s="14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</row>
    <row r="737" spans="1:24" ht="15.75" customHeight="1">
      <c r="A737" s="14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</row>
    <row r="738" spans="1:24" ht="15.75" customHeight="1">
      <c r="A738" s="14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</row>
    <row r="739" spans="1:24" ht="15.75" customHeight="1">
      <c r="A739" s="14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</row>
    <row r="740" spans="1:24" ht="15.75" customHeight="1">
      <c r="A740" s="14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</row>
    <row r="741" spans="1:24" ht="15.75" customHeight="1">
      <c r="A741" s="14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</row>
    <row r="742" spans="1:24" ht="15.75" customHeight="1">
      <c r="A742" s="14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</row>
    <row r="743" spans="1:24" ht="15.75" customHeight="1">
      <c r="A743" s="14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</row>
    <row r="744" spans="1:24" ht="15.75" customHeight="1">
      <c r="A744" s="14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</row>
    <row r="745" spans="1:24" ht="15.75" customHeight="1">
      <c r="A745" s="14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</row>
    <row r="746" spans="1:24" ht="15.75" customHeight="1">
      <c r="A746" s="14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</row>
    <row r="747" spans="1:24" ht="15.75" customHeight="1">
      <c r="A747" s="14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</row>
    <row r="748" spans="1:24" ht="15.75" customHeight="1">
      <c r="A748" s="14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</row>
    <row r="749" spans="1:24" ht="15.75" customHeight="1">
      <c r="A749" s="14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</row>
    <row r="750" spans="1:24" ht="15.75" customHeight="1">
      <c r="A750" s="14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</row>
    <row r="751" spans="1:24" ht="15.75" customHeight="1">
      <c r="A751" s="14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</row>
    <row r="752" spans="1:24" ht="15.75" customHeight="1">
      <c r="A752" s="14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</row>
    <row r="753" spans="1:24" ht="15.75" customHeight="1">
      <c r="A753" s="14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</row>
    <row r="754" spans="1:24" ht="15.75" customHeight="1">
      <c r="A754" s="14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</row>
    <row r="755" spans="1:24" ht="15.75" customHeight="1">
      <c r="A755" s="14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</row>
    <row r="756" spans="1:24" ht="15.75" customHeight="1">
      <c r="A756" s="14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</row>
    <row r="757" spans="1:24" ht="15.75" customHeight="1">
      <c r="A757" s="14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</row>
    <row r="758" spans="1:24" ht="15.75" customHeight="1">
      <c r="A758" s="14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</row>
    <row r="759" spans="1:24" ht="15.75" customHeight="1">
      <c r="A759" s="14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</row>
    <row r="760" spans="1:24" ht="15.75" customHeight="1">
      <c r="A760" s="14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</row>
    <row r="761" spans="1:24" ht="15.75" customHeight="1">
      <c r="A761" s="14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</row>
    <row r="762" spans="1:24" ht="15.75" customHeight="1">
      <c r="A762" s="14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</row>
    <row r="763" spans="1:24" ht="15.75" customHeight="1">
      <c r="A763" s="14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</row>
    <row r="764" spans="1:24" ht="15.75" customHeight="1">
      <c r="A764" s="14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</row>
    <row r="765" spans="1:24" ht="15.75" customHeight="1">
      <c r="A765" s="14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</row>
    <row r="766" spans="1:24" ht="15.75" customHeight="1">
      <c r="A766" s="14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</row>
    <row r="767" spans="1:24" ht="15.75" customHeight="1">
      <c r="A767" s="14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</row>
    <row r="768" spans="1:24" ht="15.75" customHeight="1">
      <c r="A768" s="14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</row>
    <row r="769" spans="1:24" ht="15.75" customHeight="1">
      <c r="A769" s="14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</row>
    <row r="770" spans="1:24" ht="15.75" customHeight="1">
      <c r="A770" s="14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</row>
    <row r="771" spans="1:24" ht="15.75" customHeight="1">
      <c r="A771" s="14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</row>
    <row r="772" spans="1:24" ht="15.75" customHeight="1">
      <c r="A772" s="14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</row>
    <row r="773" spans="1:24" ht="15.75" customHeight="1">
      <c r="A773" s="14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</row>
    <row r="774" spans="1:24" ht="15.75" customHeight="1">
      <c r="A774" s="14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</row>
    <row r="775" spans="1:24" ht="15.75" customHeight="1">
      <c r="A775" s="14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</row>
    <row r="776" spans="1:24" ht="15.75" customHeight="1">
      <c r="A776" s="14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</row>
    <row r="777" spans="1:24" ht="15.75" customHeight="1">
      <c r="A777" s="14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</row>
    <row r="778" spans="1:24" ht="15.75" customHeight="1">
      <c r="A778" s="14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</row>
    <row r="779" spans="1:24" ht="15.75" customHeight="1">
      <c r="A779" s="14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</row>
    <row r="780" spans="1:24" ht="15.75" customHeight="1">
      <c r="A780" s="14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</row>
    <row r="781" spans="1:24" ht="15.75" customHeight="1">
      <c r="A781" s="14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</row>
    <row r="782" spans="1:24" ht="15.75" customHeight="1">
      <c r="A782" s="14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</row>
    <row r="783" spans="1:24" ht="15.75" customHeight="1">
      <c r="A783" s="14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</row>
    <row r="784" spans="1:24" ht="15.75" customHeight="1">
      <c r="A784" s="14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</row>
    <row r="785" spans="1:24" ht="15.75" customHeight="1">
      <c r="A785" s="14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</row>
    <row r="786" spans="1:24" ht="15.75" customHeight="1">
      <c r="A786" s="14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</row>
    <row r="787" spans="1:24" ht="15.75" customHeight="1">
      <c r="A787" s="14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</row>
    <row r="788" spans="1:24" ht="15.75" customHeight="1">
      <c r="A788" s="14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</row>
    <row r="789" spans="1:24" ht="15.75" customHeight="1">
      <c r="A789" s="14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</row>
    <row r="790" spans="1:24" ht="15.75" customHeight="1">
      <c r="A790" s="14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</row>
    <row r="791" spans="1:24" ht="15.75" customHeight="1">
      <c r="A791" s="14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</row>
    <row r="792" spans="1:24" ht="15.75" customHeight="1">
      <c r="A792" s="14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</row>
    <row r="793" spans="1:24" ht="15.75" customHeight="1">
      <c r="A793" s="14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</row>
    <row r="794" spans="1:24" ht="15.75" customHeight="1">
      <c r="A794" s="14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</row>
    <row r="795" spans="1:24" ht="15.75" customHeight="1">
      <c r="A795" s="14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</row>
    <row r="796" spans="1:24" ht="15.75" customHeight="1">
      <c r="A796" s="14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</row>
    <row r="797" spans="1:24" ht="15.75" customHeight="1">
      <c r="A797" s="14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</row>
    <row r="798" spans="1:24" ht="15.75" customHeight="1">
      <c r="A798" s="14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</row>
    <row r="799" spans="1:24" ht="15.75" customHeight="1">
      <c r="A799" s="14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</row>
    <row r="800" spans="1:24" ht="15.75" customHeight="1">
      <c r="A800" s="14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</row>
    <row r="801" spans="1:24" ht="15.75" customHeight="1">
      <c r="A801" s="14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</row>
    <row r="802" spans="1:24" ht="15.75" customHeight="1">
      <c r="A802" s="14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</row>
    <row r="803" spans="1:24" ht="15.75" customHeight="1">
      <c r="A803" s="14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</row>
    <row r="804" spans="1:24" ht="15.75" customHeight="1">
      <c r="A804" s="14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</row>
    <row r="805" spans="1:24" ht="15.75" customHeight="1">
      <c r="A805" s="14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</row>
    <row r="806" spans="1:24" ht="15.75" customHeight="1">
      <c r="A806" s="14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</row>
    <row r="807" spans="1:24" ht="15.75" customHeight="1">
      <c r="A807" s="14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</row>
    <row r="808" spans="1:24" ht="15.75" customHeight="1">
      <c r="A808" s="14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</row>
    <row r="809" spans="1:24" ht="15.75" customHeight="1">
      <c r="A809" s="14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</row>
    <row r="810" spans="1:24" ht="15.75" customHeight="1">
      <c r="A810" s="14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</row>
    <row r="811" spans="1:24" ht="15.75" customHeight="1">
      <c r="A811" s="14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</row>
    <row r="812" spans="1:24" ht="15.75" customHeight="1">
      <c r="A812" s="14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</row>
    <row r="813" spans="1:24" ht="15.75" customHeight="1">
      <c r="A813" s="14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</row>
    <row r="814" spans="1:24" ht="15.75" customHeight="1">
      <c r="A814" s="14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</row>
    <row r="815" spans="1:24" ht="15.75" customHeight="1">
      <c r="A815" s="14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</row>
    <row r="816" spans="1:24" ht="15.75" customHeight="1">
      <c r="A816" s="14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</row>
    <row r="817" spans="1:24" ht="15.75" customHeight="1">
      <c r="A817" s="14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</row>
    <row r="818" spans="1:24" ht="15.75" customHeight="1">
      <c r="A818" s="14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</row>
    <row r="819" spans="1:24" ht="15.75" customHeight="1">
      <c r="A819" s="14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</row>
    <row r="820" spans="1:24" ht="15.75" customHeight="1">
      <c r="A820" s="14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</row>
    <row r="821" spans="1:24" ht="15.75" customHeight="1">
      <c r="A821" s="14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</row>
    <row r="822" spans="1:24" ht="15.75" customHeight="1">
      <c r="A822" s="14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</row>
    <row r="823" spans="1:24" ht="15.75" customHeight="1">
      <c r="A823" s="14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</row>
    <row r="824" spans="1:24" ht="15.75" customHeight="1">
      <c r="A824" s="14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</row>
    <row r="825" spans="1:24" ht="15.75" customHeight="1">
      <c r="A825" s="14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</row>
    <row r="826" spans="1:24" ht="15.75" customHeight="1">
      <c r="A826" s="14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</row>
    <row r="827" spans="1:24" ht="15.75" customHeight="1">
      <c r="A827" s="14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</row>
    <row r="828" spans="1:24" ht="15.75" customHeight="1">
      <c r="A828" s="14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</row>
    <row r="829" spans="1:24" ht="15.75" customHeight="1">
      <c r="A829" s="14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</row>
    <row r="830" spans="1:24" ht="15.75" customHeight="1">
      <c r="A830" s="14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</row>
    <row r="831" spans="1:24" ht="15.75" customHeight="1">
      <c r="A831" s="14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</row>
    <row r="832" spans="1:24" ht="15.75" customHeight="1">
      <c r="A832" s="14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</row>
    <row r="833" spans="1:24" ht="15.75" customHeight="1">
      <c r="A833" s="14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</row>
    <row r="834" spans="1:24" ht="15.75" customHeight="1">
      <c r="A834" s="14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</row>
    <row r="835" spans="1:24" ht="15.75" customHeight="1">
      <c r="A835" s="14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</row>
    <row r="836" spans="1:24" ht="15.75" customHeight="1">
      <c r="A836" s="14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</row>
    <row r="837" spans="1:24" ht="15.75" customHeight="1">
      <c r="A837" s="14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</row>
    <row r="838" spans="1:24" ht="15.75" customHeight="1">
      <c r="A838" s="14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</row>
    <row r="839" spans="1:24" ht="15.75" customHeight="1">
      <c r="A839" s="14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</row>
    <row r="840" spans="1:24" ht="15.75" customHeight="1">
      <c r="A840" s="14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</row>
    <row r="841" spans="1:24" ht="15.75" customHeight="1">
      <c r="A841" s="14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</row>
    <row r="842" spans="1:24" ht="15.75" customHeight="1">
      <c r="A842" s="14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</row>
    <row r="843" spans="1:24" ht="15.75" customHeight="1">
      <c r="A843" s="14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</row>
    <row r="844" spans="1:24" ht="15.75" customHeight="1">
      <c r="A844" s="14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</row>
    <row r="845" spans="1:24" ht="15.75" customHeight="1">
      <c r="A845" s="14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</row>
    <row r="846" spans="1:24" ht="15.75" customHeight="1">
      <c r="A846" s="14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</row>
    <row r="847" spans="1:24" ht="15.75" customHeight="1">
      <c r="A847" s="14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</row>
    <row r="848" spans="1:24" ht="15.75" customHeight="1">
      <c r="A848" s="14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</row>
    <row r="849" spans="1:24" ht="15.75" customHeight="1">
      <c r="A849" s="14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</row>
    <row r="850" spans="1:24" ht="15.75" customHeight="1">
      <c r="A850" s="14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</row>
    <row r="851" spans="1:24" ht="15.75" customHeight="1">
      <c r="A851" s="14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</row>
    <row r="852" spans="1:24" ht="15.75" customHeight="1">
      <c r="A852" s="14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</row>
    <row r="853" spans="1:24" ht="15.75" customHeight="1">
      <c r="A853" s="14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</row>
    <row r="854" spans="1:24" ht="15.75" customHeight="1">
      <c r="A854" s="14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</row>
    <row r="855" spans="1:24" ht="15.75" customHeight="1">
      <c r="A855" s="14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</row>
    <row r="856" spans="1:24" ht="15.75" customHeight="1">
      <c r="A856" s="14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</row>
    <row r="857" spans="1:24" ht="15.75" customHeight="1">
      <c r="A857" s="14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</row>
    <row r="858" spans="1:24" ht="15.75" customHeight="1">
      <c r="A858" s="14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</row>
    <row r="859" spans="1:24" ht="15.75" customHeight="1">
      <c r="A859" s="14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</row>
    <row r="860" spans="1:24" ht="15.75" customHeight="1">
      <c r="A860" s="14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</row>
    <row r="861" spans="1:24" ht="15.75" customHeight="1">
      <c r="A861" s="14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</row>
    <row r="862" spans="1:24" ht="15.75" customHeight="1">
      <c r="A862" s="14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</row>
    <row r="863" spans="1:24" ht="15.75" customHeight="1">
      <c r="A863" s="14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</row>
    <row r="864" spans="1:24" ht="15.75" customHeight="1">
      <c r="A864" s="14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</row>
    <row r="865" spans="1:24" ht="15.75" customHeight="1">
      <c r="A865" s="14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</row>
    <row r="866" spans="1:24" ht="15.75" customHeight="1">
      <c r="A866" s="14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</row>
    <row r="867" spans="1:24" ht="15.75" customHeight="1">
      <c r="A867" s="14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</row>
    <row r="868" spans="1:24" ht="15.75" customHeight="1">
      <c r="A868" s="14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</row>
    <row r="869" spans="1:24" ht="15.75" customHeight="1">
      <c r="A869" s="14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</row>
    <row r="870" spans="1:24" ht="15.75" customHeight="1">
      <c r="A870" s="14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</row>
    <row r="871" spans="1:24" ht="15.75" customHeight="1">
      <c r="A871" s="14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</row>
    <row r="872" spans="1:24" ht="15.75" customHeight="1">
      <c r="A872" s="14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</row>
    <row r="873" spans="1:24" ht="15.75" customHeight="1">
      <c r="A873" s="14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</row>
    <row r="874" spans="1:24" ht="15.75" customHeight="1">
      <c r="A874" s="14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</row>
    <row r="875" spans="1:24" ht="15.75" customHeight="1">
      <c r="A875" s="14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</row>
    <row r="876" spans="1:24" ht="15.75" customHeight="1">
      <c r="A876" s="14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</row>
    <row r="877" spans="1:24" ht="15.75" customHeight="1">
      <c r="A877" s="14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</row>
    <row r="878" spans="1:24" ht="15.75" customHeight="1">
      <c r="A878" s="14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</row>
    <row r="879" spans="1:24" ht="15.75" customHeight="1">
      <c r="A879" s="14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</row>
    <row r="880" spans="1:24" ht="15.75" customHeight="1">
      <c r="A880" s="14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</row>
    <row r="881" spans="1:24" ht="15.75" customHeight="1">
      <c r="A881" s="14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</row>
    <row r="882" spans="1:24" ht="15.75" customHeight="1">
      <c r="A882" s="14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</row>
    <row r="883" spans="1:24" ht="15.75" customHeight="1">
      <c r="A883" s="14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</row>
    <row r="884" spans="1:24" ht="15.75" customHeight="1">
      <c r="A884" s="14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</row>
    <row r="885" spans="1:24" ht="15.75" customHeight="1">
      <c r="A885" s="14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</row>
    <row r="886" spans="1:24" ht="15.75" customHeight="1">
      <c r="A886" s="14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</row>
    <row r="887" spans="1:24" ht="15.75" customHeight="1">
      <c r="A887" s="14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</row>
    <row r="888" spans="1:24" ht="15.75" customHeight="1">
      <c r="A888" s="14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</row>
    <row r="889" spans="1:24" ht="15.75" customHeight="1">
      <c r="A889" s="14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</row>
    <row r="890" spans="1:24" ht="15.75" customHeight="1">
      <c r="A890" s="14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</row>
    <row r="891" spans="1:24" ht="15.75" customHeight="1">
      <c r="A891" s="14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</row>
    <row r="892" spans="1:24" ht="15.75" customHeight="1">
      <c r="A892" s="14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</row>
    <row r="893" spans="1:24" ht="15.75" customHeight="1">
      <c r="A893" s="14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</row>
    <row r="894" spans="1:24" ht="15.75" customHeight="1">
      <c r="A894" s="14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</row>
    <row r="895" spans="1:24" ht="15.75" customHeight="1">
      <c r="A895" s="14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</row>
    <row r="896" spans="1:24" ht="15.75" customHeight="1">
      <c r="A896" s="14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</row>
    <row r="897" spans="1:24" ht="15.75" customHeight="1">
      <c r="A897" s="14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</row>
    <row r="898" spans="1:24" ht="15.75" customHeight="1">
      <c r="A898" s="14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</row>
    <row r="899" spans="1:24" ht="15.75" customHeight="1">
      <c r="A899" s="14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</row>
    <row r="900" spans="1:24" ht="15.75" customHeight="1">
      <c r="A900" s="14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</row>
    <row r="901" spans="1:24" ht="15.75" customHeight="1">
      <c r="A901" s="14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</row>
    <row r="902" spans="1:24" ht="15.75" customHeight="1">
      <c r="A902" s="14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</row>
    <row r="903" spans="1:24" ht="15.75" customHeight="1">
      <c r="A903" s="14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</row>
    <row r="904" spans="1:24" ht="15.75" customHeight="1">
      <c r="A904" s="14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</row>
    <row r="905" spans="1:24" ht="15.75" customHeight="1">
      <c r="A905" s="14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</row>
    <row r="906" spans="1:24" ht="15.75" customHeight="1">
      <c r="A906" s="14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</row>
    <row r="907" spans="1:24" ht="15.75" customHeight="1">
      <c r="A907" s="14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</row>
    <row r="908" spans="1:24" ht="15.75" customHeight="1">
      <c r="A908" s="14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</row>
    <row r="909" spans="1:24" ht="15.75" customHeight="1">
      <c r="A909" s="14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</row>
    <row r="910" spans="1:24" ht="15.75" customHeight="1">
      <c r="A910" s="14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</row>
    <row r="911" spans="1:24" ht="15.75" customHeight="1">
      <c r="A911" s="14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</row>
    <row r="912" spans="1:24" ht="15.75" customHeight="1">
      <c r="A912" s="14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</row>
    <row r="913" spans="1:24" ht="15.75" customHeight="1">
      <c r="A913" s="14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</row>
    <row r="914" spans="1:24" ht="15.75" customHeight="1">
      <c r="A914" s="14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</row>
    <row r="915" spans="1:24" ht="15.75" customHeight="1">
      <c r="A915" s="14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</row>
    <row r="916" spans="1:24" ht="15.75" customHeight="1">
      <c r="A916" s="14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</row>
    <row r="917" spans="1:24" ht="15.75" customHeight="1">
      <c r="A917" s="14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</row>
    <row r="918" spans="1:24" ht="15.75" customHeight="1">
      <c r="A918" s="14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</row>
    <row r="919" spans="1:24" ht="15.75" customHeight="1">
      <c r="A919" s="14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</row>
    <row r="920" spans="1:24" ht="15.75" customHeight="1">
      <c r="A920" s="14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</row>
    <row r="921" spans="1:24" ht="15.75" customHeight="1">
      <c r="A921" s="14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</row>
    <row r="922" spans="1:24" ht="15.75" customHeight="1">
      <c r="A922" s="14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</row>
    <row r="923" spans="1:24" ht="15.75" customHeight="1">
      <c r="A923" s="14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</row>
    <row r="924" spans="1:24" ht="15.75" customHeight="1">
      <c r="A924" s="14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</row>
    <row r="925" spans="1:24" ht="15.75" customHeight="1">
      <c r="A925" s="14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</row>
    <row r="926" spans="1:24" ht="15.75" customHeight="1">
      <c r="A926" s="14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</row>
    <row r="927" spans="1:24" ht="15.75" customHeight="1">
      <c r="A927" s="14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</row>
    <row r="928" spans="1:24" ht="15.75" customHeight="1">
      <c r="A928" s="14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</row>
    <row r="929" spans="1:24" ht="15.75" customHeight="1">
      <c r="A929" s="14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</row>
    <row r="930" spans="1:24" ht="15.75" customHeight="1">
      <c r="A930" s="14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</row>
    <row r="931" spans="1:24" ht="15.75" customHeight="1">
      <c r="A931" s="14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</row>
    <row r="932" spans="1:24" ht="15.75" customHeight="1">
      <c r="A932" s="14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</row>
    <row r="933" spans="1:24" ht="15.75" customHeight="1">
      <c r="A933" s="14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</row>
    <row r="934" spans="1:24" ht="15.75" customHeight="1">
      <c r="A934" s="14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</row>
    <row r="935" spans="1:24" ht="15.75" customHeight="1">
      <c r="A935" s="14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</row>
    <row r="936" spans="1:24" ht="15.75" customHeight="1">
      <c r="A936" s="14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</row>
    <row r="937" spans="1:24" ht="15.75" customHeight="1">
      <c r="A937" s="14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</row>
    <row r="938" spans="1:24" ht="15.75" customHeight="1">
      <c r="A938" s="14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</row>
    <row r="939" spans="1:24" ht="15.75" customHeight="1">
      <c r="A939" s="14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</row>
    <row r="940" spans="1:24" ht="15.75" customHeight="1">
      <c r="A940" s="14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</row>
    <row r="941" spans="1:24" ht="15.75" customHeight="1">
      <c r="A941" s="14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</row>
    <row r="942" spans="1:24" ht="15.75" customHeight="1">
      <c r="A942" s="14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</row>
    <row r="943" spans="1:24" ht="15.75" customHeight="1">
      <c r="A943" s="14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</row>
    <row r="944" spans="1:24" ht="15.75" customHeight="1">
      <c r="A944" s="14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</row>
    <row r="945" spans="1:24" ht="15.75" customHeight="1">
      <c r="A945" s="14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</row>
    <row r="946" spans="1:24" ht="15.75" customHeight="1">
      <c r="A946" s="14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</row>
    <row r="947" spans="1:24" ht="15.75" customHeight="1">
      <c r="A947" s="14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</row>
    <row r="948" spans="1:24" ht="15.75" customHeight="1">
      <c r="A948" s="14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</row>
    <row r="949" spans="1:24" ht="15.75" customHeight="1">
      <c r="A949" s="14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</row>
    <row r="950" spans="1:24" ht="15.75" customHeight="1">
      <c r="A950" s="14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</row>
    <row r="951" spans="1:24" ht="15.75" customHeight="1">
      <c r="A951" s="14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</row>
    <row r="952" spans="1:24" ht="15.75" customHeight="1">
      <c r="A952" s="14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</row>
    <row r="953" spans="1:24" ht="15.75" customHeight="1">
      <c r="A953" s="14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</row>
    <row r="954" spans="1:24" ht="15.75" customHeight="1">
      <c r="A954" s="14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</row>
    <row r="955" spans="1:24" ht="15.75" customHeight="1">
      <c r="A955" s="14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</row>
    <row r="956" spans="1:24" ht="15.75" customHeight="1">
      <c r="A956" s="14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</row>
    <row r="957" spans="1:24" ht="15.75" customHeight="1">
      <c r="A957" s="14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</row>
    <row r="958" spans="1:24" ht="15.75" customHeight="1">
      <c r="A958" s="14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</row>
    <row r="959" spans="1:24" ht="15.75" customHeight="1">
      <c r="A959" s="14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</row>
    <row r="960" spans="1:24" ht="15.75" customHeight="1">
      <c r="A960" s="14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</row>
    <row r="961" spans="1:24" ht="15.75" customHeight="1">
      <c r="A961" s="14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</row>
    <row r="962" spans="1:24" ht="15.75" customHeight="1">
      <c r="A962" s="14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</row>
    <row r="963" spans="1:24" ht="15.75" customHeight="1">
      <c r="A963" s="14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</row>
    <row r="964" spans="1:24" ht="15.75" customHeight="1">
      <c r="A964" s="14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</row>
    <row r="965" spans="1:24" ht="15.75" customHeight="1">
      <c r="A965" s="14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</row>
    <row r="966" spans="1:24" ht="15.75" customHeight="1">
      <c r="A966" s="14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</row>
    <row r="967" spans="1:24" ht="15.75" customHeight="1">
      <c r="A967" s="14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</row>
    <row r="968" spans="1:24" ht="15.75" customHeight="1">
      <c r="A968" s="14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</row>
    <row r="969" spans="1:24" ht="15.75" customHeight="1">
      <c r="A969" s="14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</row>
    <row r="970" spans="1:24" ht="15.75" customHeight="1">
      <c r="A970" s="14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</row>
    <row r="971" spans="1:24" ht="15.75" customHeight="1">
      <c r="A971" s="14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</row>
    <row r="972" spans="1:24" ht="15.75" customHeight="1">
      <c r="A972" s="14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</row>
    <row r="973" spans="1:24" ht="15.75" customHeight="1">
      <c r="A973" s="14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</row>
    <row r="974" spans="1:24" ht="15.75" customHeight="1">
      <c r="A974" s="14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</row>
    <row r="975" spans="1:24" ht="15.75" customHeight="1">
      <c r="A975" s="14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</row>
    <row r="976" spans="1:24" ht="15.75" customHeight="1">
      <c r="A976" s="14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</row>
    <row r="977" spans="1:24" ht="15.75" customHeight="1">
      <c r="A977" s="14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</row>
    <row r="978" spans="1:24" ht="15.75" customHeight="1">
      <c r="A978" s="14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</row>
    <row r="979" spans="1:24" ht="15.75" customHeight="1">
      <c r="A979" s="14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</row>
    <row r="980" spans="1:24" ht="15.75" customHeight="1">
      <c r="A980" s="14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</row>
    <row r="981" spans="1:24" ht="15.75" customHeight="1">
      <c r="A981" s="14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</row>
    <row r="982" spans="1:24" ht="15.75" customHeight="1">
      <c r="A982" s="14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</row>
    <row r="983" spans="1:24" ht="15.75" customHeight="1">
      <c r="A983" s="14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</row>
    <row r="984" spans="1:24" ht="15.75" customHeight="1">
      <c r="A984" s="14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</row>
    <row r="985" spans="1:24" ht="15.75" customHeight="1">
      <c r="A985" s="14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</row>
    <row r="986" spans="1:24" ht="15.75" customHeight="1">
      <c r="A986" s="14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</row>
    <row r="987" spans="1:24" ht="15.75" customHeight="1">
      <c r="A987" s="14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</row>
    <row r="988" spans="1:24" ht="15.75" customHeight="1">
      <c r="A988" s="14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</row>
    <row r="989" spans="1:24" ht="15.75" customHeight="1">
      <c r="A989" s="14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</row>
    <row r="990" spans="1:24" ht="15.75" customHeight="1">
      <c r="A990" s="14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</row>
    <row r="991" spans="1:24" ht="15.75" customHeight="1">
      <c r="A991" s="14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</row>
    <row r="992" spans="1:24" ht="15.75" customHeight="1">
      <c r="A992" s="14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</row>
    <row r="993" spans="1:24" ht="15.75" customHeight="1">
      <c r="A993" s="14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</row>
    <row r="994" spans="1:24" ht="15.75" customHeight="1">
      <c r="A994" s="14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</row>
    <row r="995" spans="1:24" ht="15.75" customHeight="1">
      <c r="A995" s="14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</row>
    <row r="996" spans="1:24" ht="15.75" customHeight="1">
      <c r="A996" s="14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</row>
    <row r="997" spans="1:24" ht="15.75" customHeight="1">
      <c r="A997" s="14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</row>
    <row r="998" spans="1:24" ht="15.75" customHeight="1">
      <c r="A998" s="14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</row>
    <row r="999" spans="1:24" ht="15.75" customHeight="1">
      <c r="A999" s="14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</row>
    <row r="1000" spans="1:24" ht="15.75" customHeight="1">
      <c r="A1000" s="14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</row>
    <row r="1001" spans="1:24" ht="15.75" customHeight="1">
      <c r="A1001" s="14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</row>
    <row r="1002" spans="1:24" ht="15.75" customHeight="1">
      <c r="A1002" s="14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</row>
    <row r="1003" spans="1:24" ht="15.75" customHeight="1">
      <c r="A1003" s="14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</row>
    <row r="1004" spans="1:24" ht="15.75" customHeight="1">
      <c r="A1004" s="14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</row>
    <row r="1005" spans="1:24" ht="15.75" customHeight="1">
      <c r="A1005" s="14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</row>
  </sheetData>
  <mergeCells count="4">
    <mergeCell ref="A1:L1"/>
    <mergeCell ref="A9:A10"/>
    <mergeCell ref="B9:B10"/>
    <mergeCell ref="C9:L9"/>
  </mergeCells>
  <pageMargins left="0.18" right="0.17" top="0.75" bottom="0.75" header="0.14000000000000001" footer="0"/>
  <pageSetup paperSize="1000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7"/>
  <sheetViews>
    <sheetView topLeftCell="A7" zoomScale="115" zoomScaleNormal="115" workbookViewId="0">
      <selection activeCell="E28" sqref="E28"/>
    </sheetView>
  </sheetViews>
  <sheetFormatPr defaultColWidth="14.44140625" defaultRowHeight="15" customHeight="1"/>
  <cols>
    <col min="1" max="1" width="8.88671875" customWidth="1"/>
    <col min="2" max="2" width="21.6640625" customWidth="1"/>
    <col min="3" max="3" width="15" customWidth="1"/>
    <col min="4" max="4" width="36.5546875" customWidth="1"/>
    <col min="5" max="9" width="13.33203125" customWidth="1"/>
    <col min="10" max="26" width="8.6640625" customWidth="1"/>
  </cols>
  <sheetData>
    <row r="1" spans="1:26" ht="14.4">
      <c r="A1" s="150" t="s">
        <v>0</v>
      </c>
      <c r="B1" s="145"/>
      <c r="C1" s="145"/>
      <c r="D1" s="145"/>
      <c r="E1" s="145"/>
      <c r="F1" s="145"/>
      <c r="G1" s="145"/>
      <c r="H1" s="145"/>
      <c r="I1" s="14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6">
      <c r="A2" s="4"/>
      <c r="B2" s="2"/>
      <c r="C2" s="4"/>
      <c r="D2" s="3"/>
      <c r="E2" s="6"/>
      <c r="F2" s="6"/>
      <c r="G2" s="6"/>
      <c r="H2" s="6"/>
      <c r="I2" s="3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6">
      <c r="A3" s="4" t="s">
        <v>2</v>
      </c>
      <c r="B3" s="2"/>
      <c r="C3" s="4" t="s">
        <v>4</v>
      </c>
      <c r="D3" s="3"/>
      <c r="E3" s="6"/>
      <c r="F3" s="6"/>
      <c r="G3" s="6"/>
      <c r="H3" s="6"/>
      <c r="I3" s="3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6">
      <c r="A4" s="4" t="s">
        <v>5</v>
      </c>
      <c r="B4" s="2"/>
      <c r="C4" s="4" t="s">
        <v>6</v>
      </c>
      <c r="D4" s="3"/>
      <c r="E4" s="6"/>
      <c r="F4" s="6"/>
      <c r="G4" s="6"/>
      <c r="H4" s="6"/>
      <c r="I4" s="3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6">
      <c r="A5" s="4" t="s">
        <v>7</v>
      </c>
      <c r="B5" s="2"/>
      <c r="C5" s="4" t="s">
        <v>8</v>
      </c>
      <c r="D5" s="3"/>
      <c r="E5" s="6"/>
      <c r="F5" s="6"/>
      <c r="G5" s="6"/>
      <c r="H5" s="6"/>
      <c r="I5" s="3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6">
      <c r="A6" s="4" t="s">
        <v>81</v>
      </c>
      <c r="B6" s="2"/>
      <c r="C6" s="4" t="s">
        <v>10</v>
      </c>
      <c r="D6" s="3"/>
      <c r="E6" s="6"/>
      <c r="F6" s="6"/>
      <c r="G6" s="6"/>
      <c r="H6" s="6"/>
      <c r="I6" s="3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6">
      <c r="A7" s="4" t="s">
        <v>11</v>
      </c>
      <c r="B7" s="2"/>
      <c r="C7" s="4" t="s">
        <v>82</v>
      </c>
      <c r="D7" s="3"/>
      <c r="E7" s="6"/>
      <c r="F7" s="6"/>
      <c r="G7" s="6"/>
      <c r="H7" s="6"/>
      <c r="I7" s="3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6">
      <c r="A8" s="4"/>
      <c r="B8" s="2"/>
      <c r="C8" s="4"/>
      <c r="D8" s="3"/>
      <c r="E8" s="6"/>
      <c r="F8" s="6"/>
      <c r="G8" s="6"/>
      <c r="H8" s="6"/>
      <c r="I8" s="3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4">
      <c r="A9" s="151" t="s">
        <v>3</v>
      </c>
      <c r="B9" s="151" t="s">
        <v>14</v>
      </c>
      <c r="C9" s="151" t="s">
        <v>15</v>
      </c>
      <c r="D9" s="151" t="s">
        <v>17</v>
      </c>
      <c r="E9" s="152" t="s">
        <v>69</v>
      </c>
      <c r="F9" s="153"/>
      <c r="G9" s="153"/>
      <c r="H9" s="154"/>
      <c r="I9" s="155" t="s">
        <v>18</v>
      </c>
    </row>
    <row r="10" spans="1:26" ht="15.75" customHeight="1">
      <c r="A10" s="147"/>
      <c r="B10" s="147"/>
      <c r="C10" s="147"/>
      <c r="D10" s="147"/>
      <c r="E10" s="36" t="s">
        <v>19</v>
      </c>
      <c r="F10" s="36" t="s">
        <v>20</v>
      </c>
      <c r="G10" s="36" t="s">
        <v>71</v>
      </c>
      <c r="H10" s="36" t="s">
        <v>70</v>
      </c>
      <c r="I10" s="156"/>
    </row>
    <row r="11" spans="1:26" ht="15.75" customHeight="1">
      <c r="A11" s="11">
        <v>1</v>
      </c>
      <c r="B11" s="7" t="s">
        <v>74</v>
      </c>
      <c r="C11" s="7"/>
      <c r="D11" s="7" t="s">
        <v>31</v>
      </c>
      <c r="E11" s="11" t="s">
        <v>66</v>
      </c>
      <c r="F11" s="11" t="s">
        <v>66</v>
      </c>
      <c r="G11" s="11" t="s">
        <v>66</v>
      </c>
      <c r="H11" s="11" t="s">
        <v>66</v>
      </c>
      <c r="I11" s="37" t="s">
        <v>73</v>
      </c>
    </row>
    <row r="12" spans="1:26" ht="15.75" customHeight="1">
      <c r="A12" s="11">
        <v>2</v>
      </c>
      <c r="B12" s="7" t="s">
        <v>62</v>
      </c>
      <c r="C12" s="7" t="s">
        <v>25</v>
      </c>
      <c r="D12" s="7"/>
      <c r="E12" s="11" t="s">
        <v>66</v>
      </c>
      <c r="F12" s="11" t="s">
        <v>66</v>
      </c>
      <c r="G12" s="11" t="s">
        <v>66</v>
      </c>
      <c r="H12" s="11" t="s">
        <v>66</v>
      </c>
      <c r="I12" s="37" t="s">
        <v>73</v>
      </c>
    </row>
    <row r="13" spans="1:26" ht="15.75" customHeight="1">
      <c r="A13" s="11">
        <v>3</v>
      </c>
      <c r="B13" s="7" t="s">
        <v>61</v>
      </c>
      <c r="C13" s="35" t="s">
        <v>34</v>
      </c>
      <c r="D13" s="35"/>
      <c r="E13" s="11" t="s">
        <v>66</v>
      </c>
      <c r="F13" s="11" t="s">
        <v>66</v>
      </c>
      <c r="G13" s="11" t="s">
        <v>66</v>
      </c>
      <c r="H13" s="11" t="s">
        <v>66</v>
      </c>
      <c r="I13" s="37" t="s">
        <v>73</v>
      </c>
    </row>
    <row r="14" spans="1:26" ht="15.75" customHeight="1">
      <c r="A14" s="11">
        <v>4</v>
      </c>
      <c r="B14" s="7" t="s">
        <v>63</v>
      </c>
      <c r="C14" s="35" t="s">
        <v>34</v>
      </c>
      <c r="D14" s="35"/>
      <c r="E14" s="11" t="s">
        <v>66</v>
      </c>
      <c r="F14" s="11" t="s">
        <v>66</v>
      </c>
      <c r="G14" s="11" t="s">
        <v>66</v>
      </c>
      <c r="H14" s="11" t="s">
        <v>66</v>
      </c>
      <c r="I14" s="37" t="s">
        <v>73</v>
      </c>
    </row>
    <row r="15" spans="1:26" ht="15.75" customHeight="1">
      <c r="A15" s="30">
        <v>5</v>
      </c>
      <c r="B15" s="33" t="s">
        <v>65</v>
      </c>
      <c r="C15" s="31"/>
      <c r="D15" s="7" t="s">
        <v>31</v>
      </c>
      <c r="E15" s="11"/>
      <c r="F15" s="11"/>
      <c r="G15" s="11" t="s">
        <v>66</v>
      </c>
      <c r="H15" s="11"/>
      <c r="I15" s="37" t="s">
        <v>73</v>
      </c>
    </row>
    <row r="16" spans="1:26" ht="15.75" customHeight="1">
      <c r="A16" s="30">
        <v>6</v>
      </c>
      <c r="B16" s="34" t="s">
        <v>33</v>
      </c>
      <c r="C16" s="7" t="s">
        <v>31</v>
      </c>
      <c r="D16" s="12"/>
      <c r="E16" s="11" t="s">
        <v>66</v>
      </c>
      <c r="F16" s="11" t="s">
        <v>66</v>
      </c>
      <c r="G16" s="11"/>
      <c r="H16" s="11"/>
      <c r="I16" s="37" t="s">
        <v>73</v>
      </c>
    </row>
    <row r="17" spans="1:9" ht="15.75" customHeight="1">
      <c r="A17" s="11">
        <v>4</v>
      </c>
      <c r="B17" s="35" t="s">
        <v>64</v>
      </c>
      <c r="C17" s="7"/>
      <c r="D17" s="7" t="s">
        <v>31</v>
      </c>
      <c r="E17" s="11" t="s">
        <v>66</v>
      </c>
      <c r="F17" s="11" t="s">
        <v>66</v>
      </c>
      <c r="G17" s="11"/>
      <c r="H17" s="11"/>
      <c r="I17" s="37" t="s">
        <v>73</v>
      </c>
    </row>
    <row r="18" spans="1:9" ht="15.75" customHeight="1">
      <c r="A18" s="30">
        <v>6</v>
      </c>
      <c r="B18" s="35" t="s">
        <v>21</v>
      </c>
      <c r="C18" s="35" t="s">
        <v>25</v>
      </c>
      <c r="D18" s="12"/>
      <c r="E18" s="11" t="s">
        <v>66</v>
      </c>
      <c r="F18" s="11"/>
      <c r="G18" s="11"/>
      <c r="H18" s="11"/>
      <c r="I18" s="37" t="s">
        <v>73</v>
      </c>
    </row>
    <row r="19" spans="1:9" ht="15.75" customHeight="1">
      <c r="A19" s="30">
        <v>7</v>
      </c>
      <c r="B19" s="35" t="s">
        <v>77</v>
      </c>
      <c r="C19" s="35" t="s">
        <v>34</v>
      </c>
      <c r="D19" s="12"/>
      <c r="E19" s="11" t="s">
        <v>66</v>
      </c>
      <c r="F19" s="11" t="s">
        <v>66</v>
      </c>
      <c r="G19" s="11"/>
      <c r="H19" s="11"/>
      <c r="I19" s="37" t="s">
        <v>73</v>
      </c>
    </row>
    <row r="20" spans="1:9" ht="15.75" customHeight="1">
      <c r="A20" s="30">
        <v>8</v>
      </c>
      <c r="B20" s="35" t="s">
        <v>78</v>
      </c>
      <c r="C20" s="35" t="s">
        <v>60</v>
      </c>
      <c r="D20" s="12"/>
      <c r="E20" s="11" t="s">
        <v>66</v>
      </c>
      <c r="F20" s="11" t="s">
        <v>66</v>
      </c>
      <c r="G20" s="11"/>
      <c r="H20" s="11"/>
      <c r="I20" s="37" t="s">
        <v>73</v>
      </c>
    </row>
    <row r="21" spans="1:9" ht="15.75" customHeight="1">
      <c r="A21" s="30">
        <v>8</v>
      </c>
      <c r="B21" s="35" t="s">
        <v>29</v>
      </c>
      <c r="C21" s="35" t="s">
        <v>30</v>
      </c>
      <c r="D21" s="12"/>
      <c r="E21" s="11" t="s">
        <v>66</v>
      </c>
      <c r="F21" s="11" t="s">
        <v>66</v>
      </c>
      <c r="G21" s="11"/>
      <c r="H21" s="11"/>
      <c r="I21" s="37" t="s">
        <v>73</v>
      </c>
    </row>
    <row r="22" spans="1:9" ht="15.75" customHeight="1">
      <c r="A22" s="30">
        <v>9</v>
      </c>
      <c r="B22" s="35" t="s">
        <v>79</v>
      </c>
      <c r="C22" s="35" t="s">
        <v>24</v>
      </c>
      <c r="D22" s="12"/>
      <c r="E22" s="11" t="s">
        <v>66</v>
      </c>
      <c r="F22" s="11" t="s">
        <v>66</v>
      </c>
      <c r="G22" s="11"/>
      <c r="H22" s="11"/>
      <c r="I22" s="37" t="s">
        <v>73</v>
      </c>
    </row>
    <row r="23" spans="1:9" ht="15.75" customHeight="1">
      <c r="A23" s="30">
        <v>10</v>
      </c>
      <c r="B23" s="35" t="s">
        <v>28</v>
      </c>
      <c r="C23" s="35" t="s">
        <v>22</v>
      </c>
      <c r="D23" s="12" t="s">
        <v>76</v>
      </c>
      <c r="E23" s="11" t="s">
        <v>66</v>
      </c>
      <c r="F23" s="11" t="s">
        <v>66</v>
      </c>
      <c r="G23" s="11"/>
      <c r="H23" s="11"/>
      <c r="I23" s="37" t="s">
        <v>73</v>
      </c>
    </row>
    <row r="24" spans="1:9" ht="14.4">
      <c r="A24" s="30">
        <v>11</v>
      </c>
      <c r="B24" s="35" t="s">
        <v>80</v>
      </c>
      <c r="C24" s="32" t="s">
        <v>26</v>
      </c>
      <c r="D24" s="12" t="s">
        <v>72</v>
      </c>
      <c r="E24" s="11" t="s">
        <v>66</v>
      </c>
      <c r="F24" s="11" t="s">
        <v>66</v>
      </c>
      <c r="G24" s="11"/>
      <c r="H24" s="11"/>
      <c r="I24" s="37" t="s">
        <v>73</v>
      </c>
    </row>
    <row r="25" spans="1:9" ht="14.4">
      <c r="A25" s="30">
        <v>12</v>
      </c>
      <c r="B25" s="35"/>
      <c r="C25" s="32"/>
      <c r="D25" s="12"/>
      <c r="E25" s="11"/>
      <c r="F25" s="11"/>
      <c r="G25" s="11"/>
      <c r="H25" s="11"/>
      <c r="I25" s="37" t="s">
        <v>73</v>
      </c>
    </row>
    <row r="26" spans="1:9" ht="14.4">
      <c r="A26" s="13"/>
      <c r="I26" s="8">
        <f>COUNTIF(I11:I25, "sudah")</f>
        <v>0</v>
      </c>
    </row>
    <row r="27" spans="1:9" ht="14.4">
      <c r="A27" s="13"/>
      <c r="I27" s="8">
        <f>COUNTA(B11:B25)</f>
        <v>14</v>
      </c>
    </row>
    <row r="28" spans="1:9" ht="15.75" customHeight="1">
      <c r="A28" s="13"/>
      <c r="I28" s="16">
        <f>I26/I27</f>
        <v>0</v>
      </c>
    </row>
    <row r="29" spans="1:9" ht="15.75" customHeight="1">
      <c r="A29" s="13"/>
    </row>
    <row r="30" spans="1:9" ht="15.75" customHeight="1">
      <c r="A30" s="13"/>
    </row>
    <row r="31" spans="1:9" ht="15.75" customHeight="1">
      <c r="A31" s="13"/>
    </row>
    <row r="32" spans="1:9" ht="15.75" customHeight="1">
      <c r="A32" s="13"/>
    </row>
    <row r="33" spans="1:1" ht="15.75" customHeight="1">
      <c r="A33" s="13"/>
    </row>
    <row r="34" spans="1:1" ht="15.75" customHeight="1">
      <c r="A34" s="13"/>
    </row>
    <row r="35" spans="1:1" ht="15.75" customHeight="1">
      <c r="A35" s="13"/>
    </row>
    <row r="36" spans="1:1" ht="15.75" customHeight="1">
      <c r="A36" s="13"/>
    </row>
    <row r="37" spans="1:1" ht="15.75" customHeight="1">
      <c r="A37" s="13"/>
    </row>
    <row r="38" spans="1:1" ht="15.75" customHeight="1">
      <c r="A38" s="13"/>
    </row>
    <row r="39" spans="1:1" ht="15.75" customHeight="1">
      <c r="A39" s="13"/>
    </row>
    <row r="40" spans="1:1" ht="15.75" customHeight="1">
      <c r="A40" s="13"/>
    </row>
    <row r="41" spans="1:1" ht="15.75" customHeight="1">
      <c r="A41" s="13"/>
    </row>
    <row r="42" spans="1:1" ht="15.75" customHeight="1">
      <c r="A42" s="13"/>
    </row>
    <row r="43" spans="1:1" ht="15.75" customHeight="1">
      <c r="A43" s="13"/>
    </row>
    <row r="44" spans="1:1" ht="15.75" customHeight="1">
      <c r="A44" s="13"/>
    </row>
    <row r="45" spans="1:1" ht="15.75" customHeight="1">
      <c r="A45" s="13"/>
    </row>
    <row r="46" spans="1:1" ht="15.75" customHeight="1">
      <c r="A46" s="13"/>
    </row>
    <row r="47" spans="1:1" ht="15.75" customHeight="1">
      <c r="A47" s="13"/>
    </row>
    <row r="48" spans="1:1" ht="15.75" customHeight="1">
      <c r="A48" s="13"/>
    </row>
    <row r="49" spans="1:1" ht="15.75" customHeight="1">
      <c r="A49" s="13"/>
    </row>
    <row r="50" spans="1:1" ht="15.75" customHeight="1">
      <c r="A50" s="13"/>
    </row>
    <row r="51" spans="1:1" ht="15.75" customHeight="1">
      <c r="A51" s="13"/>
    </row>
    <row r="52" spans="1:1" ht="15.75" customHeight="1">
      <c r="A52" s="13"/>
    </row>
    <row r="53" spans="1:1" ht="15.75" customHeight="1">
      <c r="A53" s="13"/>
    </row>
    <row r="54" spans="1:1" ht="15.75" customHeight="1">
      <c r="A54" s="13"/>
    </row>
    <row r="55" spans="1:1" ht="15.75" customHeight="1">
      <c r="A55" s="13"/>
    </row>
    <row r="56" spans="1:1" ht="15.75" customHeight="1">
      <c r="A56" s="13"/>
    </row>
    <row r="57" spans="1:1" ht="15.75" customHeight="1">
      <c r="A57" s="13"/>
    </row>
    <row r="58" spans="1:1" ht="15.75" customHeight="1">
      <c r="A58" s="13"/>
    </row>
    <row r="59" spans="1:1" ht="15.75" customHeight="1">
      <c r="A59" s="13"/>
    </row>
    <row r="60" spans="1:1" ht="15.75" customHeight="1">
      <c r="A60" s="13"/>
    </row>
    <row r="61" spans="1:1" ht="15.75" customHeight="1">
      <c r="A61" s="13"/>
    </row>
    <row r="62" spans="1:1" ht="15.75" customHeight="1">
      <c r="A62" s="13"/>
    </row>
    <row r="63" spans="1:1" ht="15.75" customHeight="1">
      <c r="A63" s="13"/>
    </row>
    <row r="64" spans="1:1" ht="15.75" customHeight="1">
      <c r="A64" s="13"/>
    </row>
    <row r="65" spans="1:1" ht="15.75" customHeight="1">
      <c r="A65" s="13"/>
    </row>
    <row r="66" spans="1:1" ht="15.75" customHeight="1">
      <c r="A66" s="13"/>
    </row>
    <row r="67" spans="1:1" ht="15.75" customHeight="1">
      <c r="A67" s="13"/>
    </row>
    <row r="68" spans="1:1" ht="15.75" customHeight="1">
      <c r="A68" s="13"/>
    </row>
    <row r="69" spans="1:1" ht="15.75" customHeight="1">
      <c r="A69" s="13"/>
    </row>
    <row r="70" spans="1:1" ht="15.75" customHeight="1">
      <c r="A70" s="13"/>
    </row>
    <row r="71" spans="1:1" ht="15.75" customHeight="1">
      <c r="A71" s="13"/>
    </row>
    <row r="72" spans="1:1" ht="15.75" customHeight="1">
      <c r="A72" s="13"/>
    </row>
    <row r="73" spans="1:1" ht="15.75" customHeight="1">
      <c r="A73" s="13"/>
    </row>
    <row r="74" spans="1:1" ht="15.75" customHeight="1">
      <c r="A74" s="13"/>
    </row>
    <row r="75" spans="1:1" ht="15.75" customHeight="1">
      <c r="A75" s="13"/>
    </row>
    <row r="76" spans="1:1" ht="15.75" customHeight="1">
      <c r="A76" s="13"/>
    </row>
    <row r="77" spans="1:1" ht="15.75" customHeight="1">
      <c r="A77" s="13"/>
    </row>
    <row r="78" spans="1:1" ht="15.75" customHeight="1">
      <c r="A78" s="13"/>
    </row>
    <row r="79" spans="1:1" ht="15.75" customHeight="1">
      <c r="A79" s="13"/>
    </row>
    <row r="80" spans="1:1" ht="15.75" customHeight="1">
      <c r="A80" s="13"/>
    </row>
    <row r="81" spans="1:1" ht="15.75" customHeight="1">
      <c r="A81" s="13"/>
    </row>
    <row r="82" spans="1:1" ht="15.75" customHeight="1">
      <c r="A82" s="13"/>
    </row>
    <row r="83" spans="1:1" ht="15.75" customHeight="1">
      <c r="A83" s="13"/>
    </row>
    <row r="84" spans="1:1" ht="15.75" customHeight="1">
      <c r="A84" s="13"/>
    </row>
    <row r="85" spans="1:1" ht="15.75" customHeight="1">
      <c r="A85" s="13"/>
    </row>
    <row r="86" spans="1:1" ht="15.75" customHeight="1">
      <c r="A86" s="13"/>
    </row>
    <row r="87" spans="1:1" ht="15.75" customHeight="1">
      <c r="A87" s="13"/>
    </row>
    <row r="88" spans="1:1" ht="15.75" customHeight="1">
      <c r="A88" s="13"/>
    </row>
    <row r="89" spans="1:1" ht="15.75" customHeight="1">
      <c r="A89" s="13"/>
    </row>
    <row r="90" spans="1:1" ht="15.75" customHeight="1">
      <c r="A90" s="13"/>
    </row>
    <row r="91" spans="1:1" ht="15.75" customHeight="1">
      <c r="A91" s="13"/>
    </row>
    <row r="92" spans="1:1" ht="15.75" customHeight="1">
      <c r="A92" s="13"/>
    </row>
    <row r="93" spans="1:1" ht="15.75" customHeight="1">
      <c r="A93" s="13"/>
    </row>
    <row r="94" spans="1:1" ht="15.75" customHeight="1">
      <c r="A94" s="13"/>
    </row>
    <row r="95" spans="1:1" ht="15.75" customHeight="1">
      <c r="A95" s="13"/>
    </row>
    <row r="96" spans="1:1" ht="15.75" customHeight="1">
      <c r="A96" s="13"/>
    </row>
    <row r="97" spans="1:1" ht="15.75" customHeight="1">
      <c r="A97" s="13"/>
    </row>
    <row r="98" spans="1:1" ht="15.75" customHeight="1">
      <c r="A98" s="13"/>
    </row>
    <row r="99" spans="1:1" ht="15.75" customHeight="1">
      <c r="A99" s="13"/>
    </row>
    <row r="100" spans="1:1" ht="15.75" customHeight="1">
      <c r="A100" s="13"/>
    </row>
    <row r="101" spans="1:1" ht="15.75" customHeight="1">
      <c r="A101" s="13"/>
    </row>
    <row r="102" spans="1:1" ht="15.75" customHeight="1">
      <c r="A102" s="13"/>
    </row>
    <row r="103" spans="1:1" ht="15.75" customHeight="1">
      <c r="A103" s="13"/>
    </row>
    <row r="104" spans="1:1" ht="15.75" customHeight="1">
      <c r="A104" s="13"/>
    </row>
    <row r="105" spans="1:1" ht="15.75" customHeight="1">
      <c r="A105" s="13"/>
    </row>
    <row r="106" spans="1:1" ht="15.75" customHeight="1">
      <c r="A106" s="13"/>
    </row>
    <row r="107" spans="1:1" ht="15.75" customHeight="1">
      <c r="A107" s="13"/>
    </row>
    <row r="108" spans="1:1" ht="15.75" customHeight="1">
      <c r="A108" s="13"/>
    </row>
    <row r="109" spans="1:1" ht="15.75" customHeight="1">
      <c r="A109" s="13"/>
    </row>
    <row r="110" spans="1:1" ht="15.75" customHeight="1">
      <c r="A110" s="13"/>
    </row>
    <row r="111" spans="1:1" ht="15.75" customHeight="1">
      <c r="A111" s="13"/>
    </row>
    <row r="112" spans="1:1" ht="15.75" customHeight="1">
      <c r="A112" s="13"/>
    </row>
    <row r="113" spans="1:1" ht="15.75" customHeight="1">
      <c r="A113" s="13"/>
    </row>
    <row r="114" spans="1:1" ht="15.75" customHeight="1">
      <c r="A114" s="13"/>
    </row>
    <row r="115" spans="1:1" ht="15.75" customHeight="1">
      <c r="A115" s="13"/>
    </row>
    <row r="116" spans="1:1" ht="15.75" customHeight="1">
      <c r="A116" s="13"/>
    </row>
    <row r="117" spans="1:1" ht="15.75" customHeight="1">
      <c r="A117" s="13"/>
    </row>
    <row r="118" spans="1:1" ht="15.75" customHeight="1">
      <c r="A118" s="13"/>
    </row>
    <row r="119" spans="1:1" ht="15.75" customHeight="1">
      <c r="A119" s="13"/>
    </row>
    <row r="120" spans="1:1" ht="15.75" customHeight="1">
      <c r="A120" s="13"/>
    </row>
    <row r="121" spans="1:1" ht="15.75" customHeight="1">
      <c r="A121" s="13"/>
    </row>
    <row r="122" spans="1:1" ht="15.75" customHeight="1">
      <c r="A122" s="13"/>
    </row>
    <row r="123" spans="1:1" ht="15.75" customHeight="1">
      <c r="A123" s="13"/>
    </row>
    <row r="124" spans="1:1" ht="15.75" customHeight="1">
      <c r="A124" s="13"/>
    </row>
    <row r="125" spans="1:1" ht="15.75" customHeight="1">
      <c r="A125" s="13"/>
    </row>
    <row r="126" spans="1:1" ht="15.75" customHeight="1">
      <c r="A126" s="13"/>
    </row>
    <row r="127" spans="1:1" ht="15.75" customHeight="1">
      <c r="A127" s="13"/>
    </row>
    <row r="128" spans="1:1" ht="15.75" customHeight="1">
      <c r="A128" s="13"/>
    </row>
    <row r="129" spans="1:1" ht="15.75" customHeight="1">
      <c r="A129" s="13"/>
    </row>
    <row r="130" spans="1:1" ht="15.75" customHeight="1">
      <c r="A130" s="13"/>
    </row>
    <row r="131" spans="1:1" ht="15.75" customHeight="1">
      <c r="A131" s="13"/>
    </row>
    <row r="132" spans="1:1" ht="15.75" customHeight="1">
      <c r="A132" s="13"/>
    </row>
    <row r="133" spans="1:1" ht="15.75" customHeight="1">
      <c r="A133" s="13"/>
    </row>
    <row r="134" spans="1:1" ht="15.75" customHeight="1">
      <c r="A134" s="13"/>
    </row>
    <row r="135" spans="1:1" ht="15.75" customHeight="1">
      <c r="A135" s="13"/>
    </row>
    <row r="136" spans="1:1" ht="15.75" customHeight="1">
      <c r="A136" s="13"/>
    </row>
    <row r="137" spans="1:1" ht="15.75" customHeight="1">
      <c r="A137" s="13"/>
    </row>
    <row r="138" spans="1:1" ht="15.75" customHeight="1">
      <c r="A138" s="13"/>
    </row>
    <row r="139" spans="1:1" ht="15.75" customHeight="1">
      <c r="A139" s="13"/>
    </row>
    <row r="140" spans="1:1" ht="15.75" customHeight="1">
      <c r="A140" s="13"/>
    </row>
    <row r="141" spans="1:1" ht="15.75" customHeight="1">
      <c r="A141" s="13"/>
    </row>
    <row r="142" spans="1:1" ht="15.75" customHeight="1">
      <c r="A142" s="13"/>
    </row>
    <row r="143" spans="1:1" ht="15.75" customHeight="1">
      <c r="A143" s="13"/>
    </row>
    <row r="144" spans="1:1" ht="15.75" customHeight="1">
      <c r="A144" s="13"/>
    </row>
    <row r="145" spans="1:1" ht="15.75" customHeight="1">
      <c r="A145" s="13"/>
    </row>
    <row r="146" spans="1:1" ht="15.75" customHeight="1">
      <c r="A146" s="13"/>
    </row>
    <row r="147" spans="1:1" ht="15.75" customHeight="1">
      <c r="A147" s="13"/>
    </row>
    <row r="148" spans="1:1" ht="15.75" customHeight="1">
      <c r="A148" s="13"/>
    </row>
    <row r="149" spans="1:1" ht="15.75" customHeight="1">
      <c r="A149" s="13"/>
    </row>
    <row r="150" spans="1:1" ht="15.75" customHeight="1">
      <c r="A150" s="13"/>
    </row>
    <row r="151" spans="1:1" ht="15.75" customHeight="1">
      <c r="A151" s="13"/>
    </row>
    <row r="152" spans="1:1" ht="15.75" customHeight="1">
      <c r="A152" s="13"/>
    </row>
    <row r="153" spans="1:1" ht="15.75" customHeight="1">
      <c r="A153" s="13"/>
    </row>
    <row r="154" spans="1:1" ht="15.75" customHeight="1">
      <c r="A154" s="13"/>
    </row>
    <row r="155" spans="1:1" ht="15.75" customHeight="1">
      <c r="A155" s="13"/>
    </row>
    <row r="156" spans="1:1" ht="15.75" customHeight="1">
      <c r="A156" s="13"/>
    </row>
    <row r="157" spans="1:1" ht="15.75" customHeight="1">
      <c r="A157" s="13"/>
    </row>
    <row r="158" spans="1:1" ht="15.75" customHeight="1">
      <c r="A158" s="13"/>
    </row>
    <row r="159" spans="1:1" ht="15.75" customHeight="1">
      <c r="A159" s="13"/>
    </row>
    <row r="160" spans="1:1" ht="15.75" customHeight="1">
      <c r="A160" s="13"/>
    </row>
    <row r="161" spans="1:1" ht="15.75" customHeight="1">
      <c r="A161" s="13"/>
    </row>
    <row r="162" spans="1:1" ht="15.75" customHeight="1">
      <c r="A162" s="13"/>
    </row>
    <row r="163" spans="1:1" ht="15.75" customHeight="1">
      <c r="A163" s="13"/>
    </row>
    <row r="164" spans="1:1" ht="15.75" customHeight="1">
      <c r="A164" s="13"/>
    </row>
    <row r="165" spans="1:1" ht="15.75" customHeight="1">
      <c r="A165" s="13"/>
    </row>
    <row r="166" spans="1:1" ht="15.75" customHeight="1">
      <c r="A166" s="13"/>
    </row>
    <row r="167" spans="1:1" ht="15.75" customHeight="1">
      <c r="A167" s="13"/>
    </row>
    <row r="168" spans="1:1" ht="15.75" customHeight="1">
      <c r="A168" s="13"/>
    </row>
    <row r="169" spans="1:1" ht="15.75" customHeight="1">
      <c r="A169" s="13"/>
    </row>
    <row r="170" spans="1:1" ht="15.75" customHeight="1">
      <c r="A170" s="13"/>
    </row>
    <row r="171" spans="1:1" ht="15.75" customHeight="1">
      <c r="A171" s="13"/>
    </row>
    <row r="172" spans="1:1" ht="15.75" customHeight="1">
      <c r="A172" s="13"/>
    </row>
    <row r="173" spans="1:1" ht="15.75" customHeight="1">
      <c r="A173" s="13"/>
    </row>
    <row r="174" spans="1:1" ht="15.75" customHeight="1">
      <c r="A174" s="13"/>
    </row>
    <row r="175" spans="1:1" ht="15.75" customHeight="1">
      <c r="A175" s="13"/>
    </row>
    <row r="176" spans="1:1" ht="15.75" customHeight="1">
      <c r="A176" s="13"/>
    </row>
    <row r="177" spans="1:1" ht="15.75" customHeight="1">
      <c r="A177" s="13"/>
    </row>
    <row r="178" spans="1:1" ht="15.75" customHeight="1">
      <c r="A178" s="13"/>
    </row>
    <row r="179" spans="1:1" ht="15.75" customHeight="1">
      <c r="A179" s="13"/>
    </row>
    <row r="180" spans="1:1" ht="15.75" customHeight="1">
      <c r="A180" s="13"/>
    </row>
    <row r="181" spans="1:1" ht="15.75" customHeight="1">
      <c r="A181" s="13"/>
    </row>
    <row r="182" spans="1:1" ht="15.75" customHeight="1">
      <c r="A182" s="13"/>
    </row>
    <row r="183" spans="1:1" ht="15.75" customHeight="1">
      <c r="A183" s="13"/>
    </row>
    <row r="184" spans="1:1" ht="15.75" customHeight="1">
      <c r="A184" s="13"/>
    </row>
    <row r="185" spans="1:1" ht="15.75" customHeight="1">
      <c r="A185" s="13"/>
    </row>
    <row r="186" spans="1:1" ht="15.75" customHeight="1">
      <c r="A186" s="13"/>
    </row>
    <row r="187" spans="1:1" ht="15.75" customHeight="1">
      <c r="A187" s="13"/>
    </row>
    <row r="188" spans="1:1" ht="15.75" customHeight="1">
      <c r="A188" s="13"/>
    </row>
    <row r="189" spans="1:1" ht="15.75" customHeight="1">
      <c r="A189" s="13"/>
    </row>
    <row r="190" spans="1:1" ht="15.75" customHeight="1">
      <c r="A190" s="13"/>
    </row>
    <row r="191" spans="1:1" ht="15.75" customHeight="1">
      <c r="A191" s="13"/>
    </row>
    <row r="192" spans="1:1" ht="15.75" customHeight="1">
      <c r="A192" s="13"/>
    </row>
    <row r="193" spans="1:1" ht="15.75" customHeight="1">
      <c r="A193" s="13"/>
    </row>
    <row r="194" spans="1:1" ht="15.75" customHeight="1">
      <c r="A194" s="13"/>
    </row>
    <row r="195" spans="1:1" ht="15.75" customHeight="1">
      <c r="A195" s="13"/>
    </row>
    <row r="196" spans="1:1" ht="15.75" customHeight="1">
      <c r="A196" s="13"/>
    </row>
    <row r="197" spans="1:1" ht="15.75" customHeight="1">
      <c r="A197" s="13"/>
    </row>
    <row r="198" spans="1:1" ht="15.75" customHeight="1">
      <c r="A198" s="13"/>
    </row>
    <row r="199" spans="1:1" ht="15.75" customHeight="1">
      <c r="A199" s="13"/>
    </row>
    <row r="200" spans="1:1" ht="15.75" customHeight="1">
      <c r="A200" s="13"/>
    </row>
    <row r="201" spans="1:1" ht="15.75" customHeight="1">
      <c r="A201" s="13"/>
    </row>
    <row r="202" spans="1:1" ht="15.75" customHeight="1">
      <c r="A202" s="13"/>
    </row>
    <row r="203" spans="1:1" ht="15.75" customHeight="1">
      <c r="A203" s="13"/>
    </row>
    <row r="204" spans="1:1" ht="15.75" customHeight="1">
      <c r="A204" s="13"/>
    </row>
    <row r="205" spans="1:1" ht="15.75" customHeight="1">
      <c r="A205" s="13"/>
    </row>
    <row r="206" spans="1:1" ht="15.75" customHeight="1">
      <c r="A206" s="13"/>
    </row>
    <row r="207" spans="1:1" ht="15.75" customHeight="1">
      <c r="A207" s="13"/>
    </row>
    <row r="208" spans="1:1" ht="15.75" customHeight="1">
      <c r="A208" s="13"/>
    </row>
    <row r="209" spans="1:1" ht="15.75" customHeight="1">
      <c r="A209" s="13"/>
    </row>
    <row r="210" spans="1:1" ht="15.75" customHeight="1">
      <c r="A210" s="13"/>
    </row>
    <row r="211" spans="1:1" ht="15.75" customHeight="1">
      <c r="A211" s="13"/>
    </row>
    <row r="212" spans="1:1" ht="15.75" customHeight="1">
      <c r="A212" s="13"/>
    </row>
    <row r="213" spans="1:1" ht="15.75" customHeight="1">
      <c r="A213" s="13"/>
    </row>
    <row r="214" spans="1:1" ht="15.75" customHeight="1">
      <c r="A214" s="13"/>
    </row>
    <row r="215" spans="1:1" ht="15.75" customHeight="1">
      <c r="A215" s="13"/>
    </row>
    <row r="216" spans="1:1" ht="15.75" customHeight="1">
      <c r="A216" s="13"/>
    </row>
    <row r="217" spans="1:1" ht="15.75" customHeight="1">
      <c r="A217" s="13"/>
    </row>
    <row r="218" spans="1:1" ht="15.75" customHeight="1">
      <c r="A218" s="13"/>
    </row>
    <row r="219" spans="1:1" ht="15.75" customHeight="1">
      <c r="A219" s="13"/>
    </row>
    <row r="220" spans="1:1" ht="15.75" customHeight="1">
      <c r="A220" s="13"/>
    </row>
    <row r="221" spans="1:1" ht="15.75" customHeight="1">
      <c r="A221" s="13"/>
    </row>
    <row r="222" spans="1:1" ht="15.75" customHeight="1">
      <c r="A222" s="13"/>
    </row>
    <row r="223" spans="1:1" ht="15.75" customHeight="1">
      <c r="A223" s="13"/>
    </row>
    <row r="224" spans="1:1" ht="15.75" customHeight="1">
      <c r="A224" s="13"/>
    </row>
    <row r="225" spans="1:1" ht="15.75" customHeight="1">
      <c r="A225" s="13"/>
    </row>
    <row r="226" spans="1:1" ht="15.75" customHeight="1">
      <c r="A226" s="13"/>
    </row>
    <row r="227" spans="1:1" ht="15.75" customHeight="1">
      <c r="A227" s="13"/>
    </row>
    <row r="228" spans="1:1" ht="15.75" customHeight="1">
      <c r="A228" s="13"/>
    </row>
    <row r="229" spans="1:1" ht="15.75" customHeight="1">
      <c r="A229" s="13"/>
    </row>
    <row r="230" spans="1:1" ht="15.75" customHeight="1">
      <c r="A230" s="13"/>
    </row>
    <row r="231" spans="1:1" ht="15.75" customHeight="1">
      <c r="A231" s="13"/>
    </row>
    <row r="232" spans="1:1" ht="15.75" customHeight="1">
      <c r="A232" s="13"/>
    </row>
    <row r="233" spans="1:1" ht="15.75" customHeight="1">
      <c r="A233" s="13"/>
    </row>
    <row r="234" spans="1:1" ht="15.75" customHeight="1">
      <c r="A234" s="13"/>
    </row>
    <row r="235" spans="1:1" ht="15.75" customHeight="1">
      <c r="A235" s="13"/>
    </row>
    <row r="236" spans="1:1" ht="15.75" customHeight="1">
      <c r="A236" s="13"/>
    </row>
    <row r="237" spans="1:1" ht="15.75" customHeight="1">
      <c r="A237" s="13"/>
    </row>
    <row r="238" spans="1:1" ht="15.75" customHeight="1">
      <c r="A238" s="13"/>
    </row>
    <row r="239" spans="1:1" ht="15.75" customHeight="1">
      <c r="A239" s="13"/>
    </row>
    <row r="240" spans="1:1" ht="15.75" customHeight="1">
      <c r="A240" s="13"/>
    </row>
    <row r="241" spans="1:1" ht="15.75" customHeight="1">
      <c r="A241" s="13"/>
    </row>
    <row r="242" spans="1:1" ht="15.75" customHeight="1">
      <c r="A242" s="13"/>
    </row>
    <row r="243" spans="1:1" ht="15.75" customHeight="1">
      <c r="A243" s="13"/>
    </row>
    <row r="244" spans="1:1" ht="15.75" customHeight="1">
      <c r="A244" s="13"/>
    </row>
    <row r="245" spans="1:1" ht="15.75" customHeight="1">
      <c r="A245" s="13"/>
    </row>
    <row r="246" spans="1:1" ht="15.75" customHeight="1">
      <c r="A246" s="13"/>
    </row>
    <row r="247" spans="1:1" ht="15.75" customHeight="1">
      <c r="A247" s="13"/>
    </row>
    <row r="248" spans="1:1" ht="15.75" customHeight="1">
      <c r="A248" s="13"/>
    </row>
    <row r="249" spans="1:1" ht="15.75" customHeight="1">
      <c r="A249" s="13"/>
    </row>
    <row r="250" spans="1:1" ht="15.75" customHeight="1">
      <c r="A250" s="13"/>
    </row>
    <row r="251" spans="1:1" ht="15.75" customHeight="1">
      <c r="A251" s="13"/>
    </row>
    <row r="252" spans="1:1" ht="15.75" customHeight="1">
      <c r="A252" s="13"/>
    </row>
    <row r="253" spans="1:1" ht="15.75" customHeight="1">
      <c r="A253" s="13"/>
    </row>
    <row r="254" spans="1:1" ht="15.75" customHeight="1">
      <c r="A254" s="13"/>
    </row>
    <row r="255" spans="1:1" ht="15.75" customHeight="1">
      <c r="A255" s="13"/>
    </row>
    <row r="256" spans="1:1" ht="15.75" customHeight="1">
      <c r="A256" s="13"/>
    </row>
    <row r="257" spans="1:1" ht="15.75" customHeight="1">
      <c r="A257" s="13"/>
    </row>
    <row r="258" spans="1:1" ht="15.75" customHeight="1">
      <c r="A258" s="13"/>
    </row>
    <row r="259" spans="1:1" ht="15.75" customHeight="1">
      <c r="A259" s="13"/>
    </row>
    <row r="260" spans="1:1" ht="15.75" customHeight="1">
      <c r="A260" s="13"/>
    </row>
    <row r="261" spans="1:1" ht="15.75" customHeight="1">
      <c r="A261" s="13"/>
    </row>
    <row r="262" spans="1:1" ht="15.75" customHeight="1">
      <c r="A262" s="13"/>
    </row>
    <row r="263" spans="1:1" ht="15.75" customHeight="1">
      <c r="A263" s="13"/>
    </row>
    <row r="264" spans="1:1" ht="15.75" customHeight="1">
      <c r="A264" s="13"/>
    </row>
    <row r="265" spans="1:1" ht="15.75" customHeight="1">
      <c r="A265" s="13"/>
    </row>
    <row r="266" spans="1:1" ht="15.75" customHeight="1">
      <c r="A266" s="13"/>
    </row>
    <row r="267" spans="1:1" ht="15.75" customHeight="1">
      <c r="A267" s="13"/>
    </row>
    <row r="268" spans="1:1" ht="15.75" customHeight="1">
      <c r="A268" s="13"/>
    </row>
    <row r="269" spans="1:1" ht="15.75" customHeight="1">
      <c r="A269" s="13"/>
    </row>
    <row r="270" spans="1:1" ht="15.75" customHeight="1">
      <c r="A270" s="13"/>
    </row>
    <row r="271" spans="1:1" ht="15.75" customHeight="1">
      <c r="A271" s="13"/>
    </row>
    <row r="272" spans="1:1" ht="15.75" customHeight="1">
      <c r="A272" s="13"/>
    </row>
    <row r="273" spans="1:1" ht="15.75" customHeight="1">
      <c r="A273" s="13"/>
    </row>
    <row r="274" spans="1:1" ht="15.75" customHeight="1">
      <c r="A274" s="13"/>
    </row>
    <row r="275" spans="1:1" ht="15.75" customHeight="1">
      <c r="A275" s="13"/>
    </row>
    <row r="276" spans="1:1" ht="15.75" customHeight="1">
      <c r="A276" s="13"/>
    </row>
    <row r="277" spans="1:1" ht="15.75" customHeight="1">
      <c r="A277" s="13"/>
    </row>
    <row r="278" spans="1:1" ht="15.75" customHeight="1">
      <c r="A278" s="13"/>
    </row>
    <row r="279" spans="1:1" ht="15.75" customHeight="1">
      <c r="A279" s="13"/>
    </row>
    <row r="280" spans="1:1" ht="15.75" customHeight="1">
      <c r="A280" s="13"/>
    </row>
    <row r="281" spans="1:1" ht="15.75" customHeight="1">
      <c r="A281" s="13"/>
    </row>
    <row r="282" spans="1:1" ht="15.75" customHeight="1">
      <c r="A282" s="13"/>
    </row>
    <row r="283" spans="1:1" ht="15.75" customHeight="1">
      <c r="A283" s="13"/>
    </row>
    <row r="284" spans="1:1" ht="15.75" customHeight="1">
      <c r="A284" s="13"/>
    </row>
    <row r="285" spans="1:1" ht="15.75" customHeight="1">
      <c r="A285" s="13"/>
    </row>
    <row r="286" spans="1:1" ht="15.75" customHeight="1">
      <c r="A286" s="13"/>
    </row>
    <row r="287" spans="1:1" ht="15.75" customHeight="1">
      <c r="A287" s="13"/>
    </row>
    <row r="288" spans="1:1" ht="15.75" customHeight="1">
      <c r="A288" s="13"/>
    </row>
    <row r="289" spans="1:1" ht="15.75" customHeight="1">
      <c r="A289" s="13"/>
    </row>
    <row r="290" spans="1:1" ht="15.75" customHeight="1">
      <c r="A290" s="13"/>
    </row>
    <row r="291" spans="1:1" ht="15.75" customHeight="1">
      <c r="A291" s="13"/>
    </row>
    <row r="292" spans="1:1" ht="15.75" customHeight="1">
      <c r="A292" s="13"/>
    </row>
    <row r="293" spans="1:1" ht="15.75" customHeight="1">
      <c r="A293" s="13"/>
    </row>
    <row r="294" spans="1:1" ht="15.75" customHeight="1">
      <c r="A294" s="13"/>
    </row>
    <row r="295" spans="1:1" ht="15.75" customHeight="1">
      <c r="A295" s="13"/>
    </row>
    <row r="296" spans="1:1" ht="15.75" customHeight="1">
      <c r="A296" s="13"/>
    </row>
    <row r="297" spans="1:1" ht="15.75" customHeight="1">
      <c r="A297" s="13"/>
    </row>
    <row r="298" spans="1:1" ht="15.75" customHeight="1">
      <c r="A298" s="13"/>
    </row>
    <row r="299" spans="1:1" ht="15.75" customHeight="1">
      <c r="A299" s="13"/>
    </row>
    <row r="300" spans="1:1" ht="15.75" customHeight="1">
      <c r="A300" s="13"/>
    </row>
    <row r="301" spans="1:1" ht="15.75" customHeight="1">
      <c r="A301" s="13"/>
    </row>
    <row r="302" spans="1:1" ht="15.75" customHeight="1">
      <c r="A302" s="13"/>
    </row>
    <row r="303" spans="1:1" ht="15.75" customHeight="1">
      <c r="A303" s="13"/>
    </row>
    <row r="304" spans="1:1" ht="15.75" customHeight="1">
      <c r="A304" s="13"/>
    </row>
    <row r="305" spans="1:1" ht="15.75" customHeight="1">
      <c r="A305" s="13"/>
    </row>
    <row r="306" spans="1:1" ht="15.75" customHeight="1">
      <c r="A306" s="13"/>
    </row>
    <row r="307" spans="1:1" ht="15.75" customHeight="1">
      <c r="A307" s="13"/>
    </row>
    <row r="308" spans="1:1" ht="15.75" customHeight="1">
      <c r="A308" s="13"/>
    </row>
    <row r="309" spans="1:1" ht="15.75" customHeight="1">
      <c r="A309" s="13"/>
    </row>
    <row r="310" spans="1:1" ht="15.75" customHeight="1">
      <c r="A310" s="13"/>
    </row>
    <row r="311" spans="1:1" ht="15.75" customHeight="1">
      <c r="A311" s="13"/>
    </row>
    <row r="312" spans="1:1" ht="15.75" customHeight="1">
      <c r="A312" s="13"/>
    </row>
    <row r="313" spans="1:1" ht="15.75" customHeight="1">
      <c r="A313" s="13"/>
    </row>
    <row r="314" spans="1:1" ht="15.75" customHeight="1">
      <c r="A314" s="13"/>
    </row>
    <row r="315" spans="1:1" ht="15.75" customHeight="1">
      <c r="A315" s="13"/>
    </row>
    <row r="316" spans="1:1" ht="15.75" customHeight="1">
      <c r="A316" s="13"/>
    </row>
    <row r="317" spans="1:1" ht="15.75" customHeight="1">
      <c r="A317" s="13"/>
    </row>
    <row r="318" spans="1:1" ht="15.75" customHeight="1">
      <c r="A318" s="13"/>
    </row>
    <row r="319" spans="1:1" ht="15.75" customHeight="1">
      <c r="A319" s="13"/>
    </row>
    <row r="320" spans="1:1" ht="15.75" customHeight="1">
      <c r="A320" s="13"/>
    </row>
    <row r="321" spans="1:1" ht="15.75" customHeight="1">
      <c r="A321" s="13"/>
    </row>
    <row r="322" spans="1:1" ht="15.75" customHeight="1">
      <c r="A322" s="13"/>
    </row>
    <row r="323" spans="1:1" ht="15.75" customHeight="1">
      <c r="A323" s="13"/>
    </row>
    <row r="324" spans="1:1" ht="15.75" customHeight="1">
      <c r="A324" s="13"/>
    </row>
    <row r="325" spans="1:1" ht="15.75" customHeight="1">
      <c r="A325" s="13"/>
    </row>
    <row r="326" spans="1:1" ht="15.75" customHeight="1">
      <c r="A326" s="13"/>
    </row>
    <row r="327" spans="1:1" ht="15.75" customHeight="1">
      <c r="A327" s="13"/>
    </row>
    <row r="328" spans="1:1" ht="15.75" customHeight="1">
      <c r="A328" s="13"/>
    </row>
    <row r="329" spans="1:1" ht="15.75" customHeight="1">
      <c r="A329" s="13"/>
    </row>
    <row r="330" spans="1:1" ht="15.75" customHeight="1">
      <c r="A330" s="13"/>
    </row>
    <row r="331" spans="1:1" ht="15.75" customHeight="1">
      <c r="A331" s="13"/>
    </row>
    <row r="332" spans="1:1" ht="15.75" customHeight="1">
      <c r="A332" s="13"/>
    </row>
    <row r="333" spans="1:1" ht="15.75" customHeight="1">
      <c r="A333" s="13"/>
    </row>
    <row r="334" spans="1:1" ht="15.75" customHeight="1">
      <c r="A334" s="13"/>
    </row>
    <row r="335" spans="1:1" ht="15.75" customHeight="1">
      <c r="A335" s="13"/>
    </row>
    <row r="336" spans="1:1" ht="15.75" customHeight="1">
      <c r="A336" s="13"/>
    </row>
    <row r="337" spans="1:1" ht="15.75" customHeight="1">
      <c r="A337" s="13"/>
    </row>
    <row r="338" spans="1:1" ht="15.75" customHeight="1">
      <c r="A338" s="13"/>
    </row>
    <row r="339" spans="1:1" ht="15.75" customHeight="1">
      <c r="A339" s="13"/>
    </row>
    <row r="340" spans="1:1" ht="15.75" customHeight="1">
      <c r="A340" s="13"/>
    </row>
    <row r="341" spans="1:1" ht="15.75" customHeight="1">
      <c r="A341" s="13"/>
    </row>
    <row r="342" spans="1:1" ht="15.75" customHeight="1">
      <c r="A342" s="13"/>
    </row>
    <row r="343" spans="1:1" ht="15.75" customHeight="1">
      <c r="A343" s="13"/>
    </row>
    <row r="344" spans="1:1" ht="15.75" customHeight="1">
      <c r="A344" s="13"/>
    </row>
    <row r="345" spans="1:1" ht="15.75" customHeight="1">
      <c r="A345" s="13"/>
    </row>
    <row r="346" spans="1:1" ht="15.75" customHeight="1">
      <c r="A346" s="13"/>
    </row>
    <row r="347" spans="1:1" ht="15.75" customHeight="1">
      <c r="A347" s="13"/>
    </row>
    <row r="348" spans="1:1" ht="15.75" customHeight="1">
      <c r="A348" s="13"/>
    </row>
    <row r="349" spans="1:1" ht="15.75" customHeight="1">
      <c r="A349" s="13"/>
    </row>
    <row r="350" spans="1:1" ht="15.75" customHeight="1">
      <c r="A350" s="13"/>
    </row>
    <row r="351" spans="1:1" ht="15.75" customHeight="1">
      <c r="A351" s="13"/>
    </row>
    <row r="352" spans="1:1" ht="15.75" customHeight="1">
      <c r="A352" s="13"/>
    </row>
    <row r="353" spans="1:1" ht="15.75" customHeight="1">
      <c r="A353" s="13"/>
    </row>
    <row r="354" spans="1:1" ht="15.75" customHeight="1">
      <c r="A354" s="13"/>
    </row>
    <row r="355" spans="1:1" ht="15.75" customHeight="1">
      <c r="A355" s="13"/>
    </row>
    <row r="356" spans="1:1" ht="15.75" customHeight="1">
      <c r="A356" s="13"/>
    </row>
    <row r="357" spans="1:1" ht="15.75" customHeight="1">
      <c r="A357" s="13"/>
    </row>
    <row r="358" spans="1:1" ht="15.75" customHeight="1">
      <c r="A358" s="13"/>
    </row>
    <row r="359" spans="1:1" ht="15.75" customHeight="1">
      <c r="A359" s="13"/>
    </row>
    <row r="360" spans="1:1" ht="15.75" customHeight="1">
      <c r="A360" s="13"/>
    </row>
    <row r="361" spans="1:1" ht="15.75" customHeight="1">
      <c r="A361" s="13"/>
    </row>
    <row r="362" spans="1:1" ht="15.75" customHeight="1">
      <c r="A362" s="13"/>
    </row>
    <row r="363" spans="1:1" ht="15.75" customHeight="1">
      <c r="A363" s="13"/>
    </row>
    <row r="364" spans="1:1" ht="15.75" customHeight="1">
      <c r="A364" s="13"/>
    </row>
    <row r="365" spans="1:1" ht="15.75" customHeight="1">
      <c r="A365" s="13"/>
    </row>
    <row r="366" spans="1:1" ht="15.75" customHeight="1">
      <c r="A366" s="13"/>
    </row>
    <row r="367" spans="1:1" ht="15.75" customHeight="1">
      <c r="A367" s="13"/>
    </row>
    <row r="368" spans="1:1" ht="15.75" customHeight="1">
      <c r="A368" s="13"/>
    </row>
    <row r="369" spans="1:1" ht="15.75" customHeight="1">
      <c r="A369" s="13"/>
    </row>
    <row r="370" spans="1:1" ht="15.75" customHeight="1">
      <c r="A370" s="13"/>
    </row>
    <row r="371" spans="1:1" ht="15.75" customHeight="1">
      <c r="A371" s="13"/>
    </row>
    <row r="372" spans="1:1" ht="15.75" customHeight="1">
      <c r="A372" s="13"/>
    </row>
    <row r="373" spans="1:1" ht="15.75" customHeight="1">
      <c r="A373" s="13"/>
    </row>
    <row r="374" spans="1:1" ht="15.75" customHeight="1">
      <c r="A374" s="13"/>
    </row>
    <row r="375" spans="1:1" ht="15.75" customHeight="1">
      <c r="A375" s="13"/>
    </row>
    <row r="376" spans="1:1" ht="15.75" customHeight="1">
      <c r="A376" s="13"/>
    </row>
    <row r="377" spans="1:1" ht="15.75" customHeight="1">
      <c r="A377" s="13"/>
    </row>
    <row r="378" spans="1:1" ht="15.75" customHeight="1">
      <c r="A378" s="13"/>
    </row>
    <row r="379" spans="1:1" ht="15.75" customHeight="1">
      <c r="A379" s="13"/>
    </row>
    <row r="380" spans="1:1" ht="15.75" customHeight="1">
      <c r="A380" s="13"/>
    </row>
    <row r="381" spans="1:1" ht="15.75" customHeight="1">
      <c r="A381" s="13"/>
    </row>
    <row r="382" spans="1:1" ht="15.75" customHeight="1">
      <c r="A382" s="13"/>
    </row>
    <row r="383" spans="1:1" ht="15.75" customHeight="1">
      <c r="A383" s="13"/>
    </row>
    <row r="384" spans="1:1" ht="15.75" customHeight="1">
      <c r="A384" s="13"/>
    </row>
    <row r="385" spans="1:1" ht="15.75" customHeight="1">
      <c r="A385" s="13"/>
    </row>
    <row r="386" spans="1:1" ht="15.75" customHeight="1">
      <c r="A386" s="13"/>
    </row>
    <row r="387" spans="1:1" ht="15.75" customHeight="1">
      <c r="A387" s="13"/>
    </row>
    <row r="388" spans="1:1" ht="15.75" customHeight="1">
      <c r="A388" s="13"/>
    </row>
    <row r="389" spans="1:1" ht="15.75" customHeight="1">
      <c r="A389" s="13"/>
    </row>
    <row r="390" spans="1:1" ht="15.75" customHeight="1">
      <c r="A390" s="13"/>
    </row>
    <row r="391" spans="1:1" ht="15.75" customHeight="1">
      <c r="A391" s="13"/>
    </row>
    <row r="392" spans="1:1" ht="15.75" customHeight="1">
      <c r="A392" s="13"/>
    </row>
    <row r="393" spans="1:1" ht="15.75" customHeight="1">
      <c r="A393" s="13"/>
    </row>
    <row r="394" spans="1:1" ht="15.75" customHeight="1">
      <c r="A394" s="13"/>
    </row>
    <row r="395" spans="1:1" ht="15.75" customHeight="1">
      <c r="A395" s="13"/>
    </row>
    <row r="396" spans="1:1" ht="15.75" customHeight="1">
      <c r="A396" s="13"/>
    </row>
    <row r="397" spans="1:1" ht="15.75" customHeight="1">
      <c r="A397" s="13"/>
    </row>
    <row r="398" spans="1:1" ht="15.75" customHeight="1">
      <c r="A398" s="13"/>
    </row>
    <row r="399" spans="1:1" ht="15.75" customHeight="1">
      <c r="A399" s="13"/>
    </row>
    <row r="400" spans="1:1" ht="15.75" customHeight="1">
      <c r="A400" s="13"/>
    </row>
    <row r="401" spans="1:1" ht="15.75" customHeight="1">
      <c r="A401" s="13"/>
    </row>
    <row r="402" spans="1:1" ht="15.75" customHeight="1">
      <c r="A402" s="13"/>
    </row>
    <row r="403" spans="1:1" ht="15.75" customHeight="1">
      <c r="A403" s="13"/>
    </row>
    <row r="404" spans="1:1" ht="15.75" customHeight="1">
      <c r="A404" s="13"/>
    </row>
    <row r="405" spans="1:1" ht="15.75" customHeight="1">
      <c r="A405" s="13"/>
    </row>
    <row r="406" spans="1:1" ht="15.75" customHeight="1">
      <c r="A406" s="13"/>
    </row>
    <row r="407" spans="1:1" ht="15.75" customHeight="1">
      <c r="A407" s="13"/>
    </row>
    <row r="408" spans="1:1" ht="15.75" customHeight="1">
      <c r="A408" s="13"/>
    </row>
    <row r="409" spans="1:1" ht="15.75" customHeight="1">
      <c r="A409" s="13"/>
    </row>
    <row r="410" spans="1:1" ht="15.75" customHeight="1">
      <c r="A410" s="13"/>
    </row>
    <row r="411" spans="1:1" ht="15.75" customHeight="1">
      <c r="A411" s="13"/>
    </row>
    <row r="412" spans="1:1" ht="15.75" customHeight="1">
      <c r="A412" s="13"/>
    </row>
    <row r="413" spans="1:1" ht="15.75" customHeight="1">
      <c r="A413" s="13"/>
    </row>
    <row r="414" spans="1:1" ht="15.75" customHeight="1">
      <c r="A414" s="13"/>
    </row>
    <row r="415" spans="1:1" ht="15.75" customHeight="1">
      <c r="A415" s="13"/>
    </row>
    <row r="416" spans="1:1" ht="15.75" customHeight="1">
      <c r="A416" s="13"/>
    </row>
    <row r="417" spans="1:1" ht="15.75" customHeight="1">
      <c r="A417" s="13"/>
    </row>
    <row r="418" spans="1:1" ht="15.75" customHeight="1">
      <c r="A418" s="13"/>
    </row>
    <row r="419" spans="1:1" ht="15.75" customHeight="1">
      <c r="A419" s="13"/>
    </row>
    <row r="420" spans="1:1" ht="15.75" customHeight="1">
      <c r="A420" s="13"/>
    </row>
    <row r="421" spans="1:1" ht="15.75" customHeight="1">
      <c r="A421" s="13"/>
    </row>
    <row r="422" spans="1:1" ht="15.75" customHeight="1">
      <c r="A422" s="13"/>
    </row>
    <row r="423" spans="1:1" ht="15.75" customHeight="1">
      <c r="A423" s="13"/>
    </row>
    <row r="424" spans="1:1" ht="15.75" customHeight="1">
      <c r="A424" s="13"/>
    </row>
    <row r="425" spans="1:1" ht="15.75" customHeight="1">
      <c r="A425" s="13"/>
    </row>
    <row r="426" spans="1:1" ht="15.75" customHeight="1">
      <c r="A426" s="13"/>
    </row>
    <row r="427" spans="1:1" ht="15.75" customHeight="1">
      <c r="A427" s="13"/>
    </row>
    <row r="428" spans="1:1" ht="15.75" customHeight="1">
      <c r="A428" s="13"/>
    </row>
    <row r="429" spans="1:1" ht="15.75" customHeight="1">
      <c r="A429" s="13"/>
    </row>
    <row r="430" spans="1:1" ht="15.75" customHeight="1">
      <c r="A430" s="13"/>
    </row>
    <row r="431" spans="1:1" ht="15.75" customHeight="1">
      <c r="A431" s="13"/>
    </row>
    <row r="432" spans="1:1" ht="15.75" customHeight="1">
      <c r="A432" s="13"/>
    </row>
    <row r="433" spans="1:1" ht="15.75" customHeight="1">
      <c r="A433" s="13"/>
    </row>
    <row r="434" spans="1:1" ht="15.75" customHeight="1">
      <c r="A434" s="13"/>
    </row>
    <row r="435" spans="1:1" ht="15.75" customHeight="1">
      <c r="A435" s="13"/>
    </row>
    <row r="436" spans="1:1" ht="15.75" customHeight="1">
      <c r="A436" s="13"/>
    </row>
    <row r="437" spans="1:1" ht="15.75" customHeight="1">
      <c r="A437" s="13"/>
    </row>
    <row r="438" spans="1:1" ht="15.75" customHeight="1">
      <c r="A438" s="13"/>
    </row>
    <row r="439" spans="1:1" ht="15.75" customHeight="1">
      <c r="A439" s="13"/>
    </row>
    <row r="440" spans="1:1" ht="15.75" customHeight="1">
      <c r="A440" s="13"/>
    </row>
    <row r="441" spans="1:1" ht="15.75" customHeight="1">
      <c r="A441" s="13"/>
    </row>
    <row r="442" spans="1:1" ht="15.75" customHeight="1">
      <c r="A442" s="13"/>
    </row>
    <row r="443" spans="1:1" ht="15.75" customHeight="1">
      <c r="A443" s="13"/>
    </row>
    <row r="444" spans="1:1" ht="15.75" customHeight="1">
      <c r="A444" s="13"/>
    </row>
    <row r="445" spans="1:1" ht="15.75" customHeight="1">
      <c r="A445" s="13"/>
    </row>
    <row r="446" spans="1:1" ht="15.75" customHeight="1">
      <c r="A446" s="13"/>
    </row>
    <row r="447" spans="1:1" ht="15.75" customHeight="1">
      <c r="A447" s="13"/>
    </row>
    <row r="448" spans="1:1" ht="15.75" customHeight="1">
      <c r="A448" s="13"/>
    </row>
    <row r="449" spans="1:1" ht="15.75" customHeight="1">
      <c r="A449" s="13"/>
    </row>
    <row r="450" spans="1:1" ht="15.75" customHeight="1">
      <c r="A450" s="13"/>
    </row>
    <row r="451" spans="1:1" ht="15.75" customHeight="1">
      <c r="A451" s="13"/>
    </row>
    <row r="452" spans="1:1" ht="15.75" customHeight="1">
      <c r="A452" s="13"/>
    </row>
    <row r="453" spans="1:1" ht="15.75" customHeight="1">
      <c r="A453" s="13"/>
    </row>
    <row r="454" spans="1:1" ht="15.75" customHeight="1">
      <c r="A454" s="13"/>
    </row>
    <row r="455" spans="1:1" ht="15.75" customHeight="1">
      <c r="A455" s="13"/>
    </row>
    <row r="456" spans="1:1" ht="15.75" customHeight="1">
      <c r="A456" s="13"/>
    </row>
    <row r="457" spans="1:1" ht="15.75" customHeight="1">
      <c r="A457" s="13"/>
    </row>
    <row r="458" spans="1:1" ht="15.75" customHeight="1">
      <c r="A458" s="13"/>
    </row>
    <row r="459" spans="1:1" ht="15.75" customHeight="1">
      <c r="A459" s="13"/>
    </row>
    <row r="460" spans="1:1" ht="15.75" customHeight="1">
      <c r="A460" s="13"/>
    </row>
    <row r="461" spans="1:1" ht="15.75" customHeight="1">
      <c r="A461" s="13"/>
    </row>
    <row r="462" spans="1:1" ht="15.75" customHeight="1">
      <c r="A462" s="13"/>
    </row>
    <row r="463" spans="1:1" ht="15.75" customHeight="1">
      <c r="A463" s="13"/>
    </row>
    <row r="464" spans="1:1" ht="15.75" customHeight="1">
      <c r="A464" s="13"/>
    </row>
    <row r="465" spans="1:1" ht="15.75" customHeight="1">
      <c r="A465" s="13"/>
    </row>
    <row r="466" spans="1:1" ht="15.75" customHeight="1">
      <c r="A466" s="13"/>
    </row>
    <row r="467" spans="1:1" ht="15.75" customHeight="1">
      <c r="A467" s="13"/>
    </row>
    <row r="468" spans="1:1" ht="15.75" customHeight="1">
      <c r="A468" s="13"/>
    </row>
    <row r="469" spans="1:1" ht="15.75" customHeight="1">
      <c r="A469" s="13"/>
    </row>
    <row r="470" spans="1:1" ht="15.75" customHeight="1">
      <c r="A470" s="13"/>
    </row>
    <row r="471" spans="1:1" ht="15.75" customHeight="1">
      <c r="A471" s="13"/>
    </row>
    <row r="472" spans="1:1" ht="15.75" customHeight="1">
      <c r="A472" s="13"/>
    </row>
    <row r="473" spans="1:1" ht="15.75" customHeight="1">
      <c r="A473" s="13"/>
    </row>
    <row r="474" spans="1:1" ht="15.75" customHeight="1">
      <c r="A474" s="13"/>
    </row>
    <row r="475" spans="1:1" ht="15.75" customHeight="1">
      <c r="A475" s="13"/>
    </row>
    <row r="476" spans="1:1" ht="15.75" customHeight="1">
      <c r="A476" s="13"/>
    </row>
    <row r="477" spans="1:1" ht="15.75" customHeight="1">
      <c r="A477" s="13"/>
    </row>
    <row r="478" spans="1:1" ht="15.75" customHeight="1">
      <c r="A478" s="13"/>
    </row>
    <row r="479" spans="1:1" ht="15.75" customHeight="1">
      <c r="A479" s="13"/>
    </row>
    <row r="480" spans="1:1" ht="15.75" customHeight="1">
      <c r="A480" s="13"/>
    </row>
    <row r="481" spans="1:1" ht="15.75" customHeight="1">
      <c r="A481" s="13"/>
    </row>
    <row r="482" spans="1:1" ht="15.75" customHeight="1">
      <c r="A482" s="13"/>
    </row>
    <row r="483" spans="1:1" ht="15.75" customHeight="1">
      <c r="A483" s="13"/>
    </row>
    <row r="484" spans="1:1" ht="15.75" customHeight="1">
      <c r="A484" s="13"/>
    </row>
    <row r="485" spans="1:1" ht="15.75" customHeight="1">
      <c r="A485" s="13"/>
    </row>
    <row r="486" spans="1:1" ht="15.75" customHeight="1">
      <c r="A486" s="13"/>
    </row>
    <row r="487" spans="1:1" ht="15.75" customHeight="1">
      <c r="A487" s="13"/>
    </row>
    <row r="488" spans="1:1" ht="15.75" customHeight="1">
      <c r="A488" s="13"/>
    </row>
    <row r="489" spans="1:1" ht="15.75" customHeight="1">
      <c r="A489" s="13"/>
    </row>
    <row r="490" spans="1:1" ht="15.75" customHeight="1">
      <c r="A490" s="13"/>
    </row>
    <row r="491" spans="1:1" ht="15.75" customHeight="1">
      <c r="A491" s="13"/>
    </row>
    <row r="492" spans="1:1" ht="15.75" customHeight="1">
      <c r="A492" s="13"/>
    </row>
    <row r="493" spans="1:1" ht="15.75" customHeight="1">
      <c r="A493" s="13"/>
    </row>
    <row r="494" spans="1:1" ht="15.75" customHeight="1">
      <c r="A494" s="13"/>
    </row>
    <row r="495" spans="1:1" ht="15.75" customHeight="1">
      <c r="A495" s="13"/>
    </row>
    <row r="496" spans="1:1" ht="15.75" customHeight="1">
      <c r="A496" s="13"/>
    </row>
    <row r="497" spans="1:1" ht="15.75" customHeight="1">
      <c r="A497" s="13"/>
    </row>
    <row r="498" spans="1:1" ht="15.75" customHeight="1">
      <c r="A498" s="13"/>
    </row>
    <row r="499" spans="1:1" ht="15.75" customHeight="1">
      <c r="A499" s="13"/>
    </row>
    <row r="500" spans="1:1" ht="15.75" customHeight="1">
      <c r="A500" s="13"/>
    </row>
    <row r="501" spans="1:1" ht="15.75" customHeight="1">
      <c r="A501" s="13"/>
    </row>
    <row r="502" spans="1:1" ht="15.75" customHeight="1">
      <c r="A502" s="13"/>
    </row>
    <row r="503" spans="1:1" ht="15.75" customHeight="1">
      <c r="A503" s="13"/>
    </row>
    <row r="504" spans="1:1" ht="15.75" customHeight="1">
      <c r="A504" s="13"/>
    </row>
    <row r="505" spans="1:1" ht="15.75" customHeight="1">
      <c r="A505" s="13"/>
    </row>
    <row r="506" spans="1:1" ht="15.75" customHeight="1">
      <c r="A506" s="13"/>
    </row>
    <row r="507" spans="1:1" ht="15.75" customHeight="1">
      <c r="A507" s="13"/>
    </row>
    <row r="508" spans="1:1" ht="15.75" customHeight="1">
      <c r="A508" s="13"/>
    </row>
    <row r="509" spans="1:1" ht="15.75" customHeight="1">
      <c r="A509" s="13"/>
    </row>
    <row r="510" spans="1:1" ht="15.75" customHeight="1">
      <c r="A510" s="13"/>
    </row>
    <row r="511" spans="1:1" ht="15.75" customHeight="1">
      <c r="A511" s="13"/>
    </row>
    <row r="512" spans="1:1" ht="15.75" customHeight="1">
      <c r="A512" s="13"/>
    </row>
    <row r="513" spans="1:1" ht="15.75" customHeight="1">
      <c r="A513" s="13"/>
    </row>
    <row r="514" spans="1:1" ht="15.75" customHeight="1">
      <c r="A514" s="13"/>
    </row>
    <row r="515" spans="1:1" ht="15.75" customHeight="1">
      <c r="A515" s="13"/>
    </row>
    <row r="516" spans="1:1" ht="15.75" customHeight="1">
      <c r="A516" s="13"/>
    </row>
    <row r="517" spans="1:1" ht="15.75" customHeight="1">
      <c r="A517" s="13"/>
    </row>
    <row r="518" spans="1:1" ht="15.75" customHeight="1">
      <c r="A518" s="13"/>
    </row>
    <row r="519" spans="1:1" ht="15.75" customHeight="1">
      <c r="A519" s="13"/>
    </row>
    <row r="520" spans="1:1" ht="15.75" customHeight="1">
      <c r="A520" s="13"/>
    </row>
    <row r="521" spans="1:1" ht="15.75" customHeight="1">
      <c r="A521" s="13"/>
    </row>
    <row r="522" spans="1:1" ht="15.75" customHeight="1">
      <c r="A522" s="13"/>
    </row>
    <row r="523" spans="1:1" ht="15.75" customHeight="1">
      <c r="A523" s="13"/>
    </row>
    <row r="524" spans="1:1" ht="15.75" customHeight="1">
      <c r="A524" s="13"/>
    </row>
    <row r="525" spans="1:1" ht="15.75" customHeight="1">
      <c r="A525" s="13"/>
    </row>
    <row r="526" spans="1:1" ht="15.75" customHeight="1">
      <c r="A526" s="13"/>
    </row>
    <row r="527" spans="1:1" ht="15.75" customHeight="1">
      <c r="A527" s="13"/>
    </row>
    <row r="528" spans="1:1" ht="15.75" customHeight="1">
      <c r="A528" s="13"/>
    </row>
    <row r="529" spans="1:1" ht="15.75" customHeight="1">
      <c r="A529" s="13"/>
    </row>
    <row r="530" spans="1:1" ht="15.75" customHeight="1">
      <c r="A530" s="13"/>
    </row>
    <row r="531" spans="1:1" ht="15.75" customHeight="1">
      <c r="A531" s="13"/>
    </row>
    <row r="532" spans="1:1" ht="15.75" customHeight="1">
      <c r="A532" s="13"/>
    </row>
    <row r="533" spans="1:1" ht="15.75" customHeight="1">
      <c r="A533" s="13"/>
    </row>
    <row r="534" spans="1:1" ht="15.75" customHeight="1">
      <c r="A534" s="13"/>
    </row>
    <row r="535" spans="1:1" ht="15.75" customHeight="1">
      <c r="A535" s="13"/>
    </row>
    <row r="536" spans="1:1" ht="15.75" customHeight="1">
      <c r="A536" s="13"/>
    </row>
    <row r="537" spans="1:1" ht="15.75" customHeight="1">
      <c r="A537" s="13"/>
    </row>
    <row r="538" spans="1:1" ht="15.75" customHeight="1">
      <c r="A538" s="13"/>
    </row>
    <row r="539" spans="1:1" ht="15.75" customHeight="1">
      <c r="A539" s="13"/>
    </row>
    <row r="540" spans="1:1" ht="15.75" customHeight="1">
      <c r="A540" s="13"/>
    </row>
    <row r="541" spans="1:1" ht="15.75" customHeight="1">
      <c r="A541" s="13"/>
    </row>
    <row r="542" spans="1:1" ht="15.75" customHeight="1">
      <c r="A542" s="13"/>
    </row>
    <row r="543" spans="1:1" ht="15.75" customHeight="1">
      <c r="A543" s="13"/>
    </row>
    <row r="544" spans="1:1" ht="15.75" customHeight="1">
      <c r="A544" s="13"/>
    </row>
    <row r="545" spans="1:1" ht="15.75" customHeight="1">
      <c r="A545" s="13"/>
    </row>
    <row r="546" spans="1:1" ht="15.75" customHeight="1">
      <c r="A546" s="13"/>
    </row>
    <row r="547" spans="1:1" ht="15.75" customHeight="1">
      <c r="A547" s="13"/>
    </row>
    <row r="548" spans="1:1" ht="15.75" customHeight="1">
      <c r="A548" s="13"/>
    </row>
    <row r="549" spans="1:1" ht="15.75" customHeight="1">
      <c r="A549" s="13"/>
    </row>
    <row r="550" spans="1:1" ht="15.75" customHeight="1">
      <c r="A550" s="13"/>
    </row>
    <row r="551" spans="1:1" ht="15.75" customHeight="1">
      <c r="A551" s="13"/>
    </row>
    <row r="552" spans="1:1" ht="15.75" customHeight="1">
      <c r="A552" s="13"/>
    </row>
    <row r="553" spans="1:1" ht="15.75" customHeight="1">
      <c r="A553" s="13"/>
    </row>
    <row r="554" spans="1:1" ht="15.75" customHeight="1">
      <c r="A554" s="13"/>
    </row>
    <row r="555" spans="1:1" ht="15.75" customHeight="1">
      <c r="A555" s="13"/>
    </row>
    <row r="556" spans="1:1" ht="15.75" customHeight="1">
      <c r="A556" s="13"/>
    </row>
    <row r="557" spans="1:1" ht="15.75" customHeight="1">
      <c r="A557" s="13"/>
    </row>
    <row r="558" spans="1:1" ht="15.75" customHeight="1">
      <c r="A558" s="13"/>
    </row>
    <row r="559" spans="1:1" ht="15.75" customHeight="1">
      <c r="A559" s="13"/>
    </row>
    <row r="560" spans="1:1" ht="15.75" customHeight="1">
      <c r="A560" s="13"/>
    </row>
    <row r="561" spans="1:1" ht="15.75" customHeight="1">
      <c r="A561" s="13"/>
    </row>
    <row r="562" spans="1:1" ht="15.75" customHeight="1">
      <c r="A562" s="13"/>
    </row>
    <row r="563" spans="1:1" ht="15.75" customHeight="1">
      <c r="A563" s="13"/>
    </row>
    <row r="564" spans="1:1" ht="15.75" customHeight="1">
      <c r="A564" s="13"/>
    </row>
    <row r="565" spans="1:1" ht="15.75" customHeight="1">
      <c r="A565" s="13"/>
    </row>
    <row r="566" spans="1:1" ht="15.75" customHeight="1">
      <c r="A566" s="13"/>
    </row>
    <row r="567" spans="1:1" ht="15.75" customHeight="1">
      <c r="A567" s="13"/>
    </row>
    <row r="568" spans="1:1" ht="15.75" customHeight="1">
      <c r="A568" s="13"/>
    </row>
    <row r="569" spans="1:1" ht="15.75" customHeight="1">
      <c r="A569" s="13"/>
    </row>
    <row r="570" spans="1:1" ht="15.75" customHeight="1">
      <c r="A570" s="13"/>
    </row>
    <row r="571" spans="1:1" ht="15.75" customHeight="1">
      <c r="A571" s="13"/>
    </row>
    <row r="572" spans="1:1" ht="15.75" customHeight="1">
      <c r="A572" s="13"/>
    </row>
    <row r="573" spans="1:1" ht="15.75" customHeight="1">
      <c r="A573" s="13"/>
    </row>
    <row r="574" spans="1:1" ht="15.75" customHeight="1">
      <c r="A574" s="13"/>
    </row>
    <row r="575" spans="1:1" ht="15.75" customHeight="1">
      <c r="A575" s="13"/>
    </row>
    <row r="576" spans="1:1" ht="15.75" customHeight="1">
      <c r="A576" s="13"/>
    </row>
    <row r="577" spans="1:1" ht="15.75" customHeight="1">
      <c r="A577" s="13"/>
    </row>
    <row r="578" spans="1:1" ht="15.75" customHeight="1">
      <c r="A578" s="13"/>
    </row>
    <row r="579" spans="1:1" ht="15.75" customHeight="1">
      <c r="A579" s="13"/>
    </row>
    <row r="580" spans="1:1" ht="15.75" customHeight="1">
      <c r="A580" s="13"/>
    </row>
    <row r="581" spans="1:1" ht="15.75" customHeight="1">
      <c r="A581" s="13"/>
    </row>
    <row r="582" spans="1:1" ht="15.75" customHeight="1">
      <c r="A582" s="13"/>
    </row>
    <row r="583" spans="1:1" ht="15.75" customHeight="1">
      <c r="A583" s="13"/>
    </row>
    <row r="584" spans="1:1" ht="15.75" customHeight="1">
      <c r="A584" s="13"/>
    </row>
    <row r="585" spans="1:1" ht="15.75" customHeight="1">
      <c r="A585" s="13"/>
    </row>
    <row r="586" spans="1:1" ht="15.75" customHeight="1">
      <c r="A586" s="13"/>
    </row>
    <row r="587" spans="1:1" ht="15.75" customHeight="1">
      <c r="A587" s="13"/>
    </row>
    <row r="588" spans="1:1" ht="15.75" customHeight="1">
      <c r="A588" s="13"/>
    </row>
    <row r="589" spans="1:1" ht="15.75" customHeight="1">
      <c r="A589" s="13"/>
    </row>
    <row r="590" spans="1:1" ht="15.75" customHeight="1">
      <c r="A590" s="13"/>
    </row>
    <row r="591" spans="1:1" ht="15.75" customHeight="1">
      <c r="A591" s="13"/>
    </row>
    <row r="592" spans="1:1" ht="15.75" customHeight="1">
      <c r="A592" s="13"/>
    </row>
    <row r="593" spans="1:1" ht="15.75" customHeight="1">
      <c r="A593" s="13"/>
    </row>
    <row r="594" spans="1:1" ht="15.75" customHeight="1">
      <c r="A594" s="13"/>
    </row>
    <row r="595" spans="1:1" ht="15.75" customHeight="1">
      <c r="A595" s="13"/>
    </row>
    <row r="596" spans="1:1" ht="15.75" customHeight="1">
      <c r="A596" s="13"/>
    </row>
    <row r="597" spans="1:1" ht="15.75" customHeight="1">
      <c r="A597" s="13"/>
    </row>
    <row r="598" spans="1:1" ht="15.75" customHeight="1">
      <c r="A598" s="13"/>
    </row>
    <row r="599" spans="1:1" ht="15.75" customHeight="1">
      <c r="A599" s="13"/>
    </row>
    <row r="600" spans="1:1" ht="15.75" customHeight="1">
      <c r="A600" s="13"/>
    </row>
    <row r="601" spans="1:1" ht="15.75" customHeight="1">
      <c r="A601" s="13"/>
    </row>
    <row r="602" spans="1:1" ht="15.75" customHeight="1">
      <c r="A602" s="13"/>
    </row>
    <row r="603" spans="1:1" ht="15.75" customHeight="1">
      <c r="A603" s="13"/>
    </row>
    <row r="604" spans="1:1" ht="15.75" customHeight="1">
      <c r="A604" s="13"/>
    </row>
    <row r="605" spans="1:1" ht="15.75" customHeight="1">
      <c r="A605" s="13"/>
    </row>
    <row r="606" spans="1:1" ht="15.75" customHeight="1">
      <c r="A606" s="13"/>
    </row>
    <row r="607" spans="1:1" ht="15.75" customHeight="1">
      <c r="A607" s="13"/>
    </row>
    <row r="608" spans="1:1" ht="15.75" customHeight="1">
      <c r="A608" s="13"/>
    </row>
    <row r="609" spans="1:1" ht="15.75" customHeight="1">
      <c r="A609" s="13"/>
    </row>
    <row r="610" spans="1:1" ht="15.75" customHeight="1">
      <c r="A610" s="13"/>
    </row>
    <row r="611" spans="1:1" ht="15.75" customHeight="1">
      <c r="A611" s="13"/>
    </row>
    <row r="612" spans="1:1" ht="15.75" customHeight="1">
      <c r="A612" s="13"/>
    </row>
    <row r="613" spans="1:1" ht="15.75" customHeight="1">
      <c r="A613" s="13"/>
    </row>
    <row r="614" spans="1:1" ht="15.75" customHeight="1">
      <c r="A614" s="13"/>
    </row>
    <row r="615" spans="1:1" ht="15.75" customHeight="1">
      <c r="A615" s="13"/>
    </row>
    <row r="616" spans="1:1" ht="15.75" customHeight="1">
      <c r="A616" s="13"/>
    </row>
    <row r="617" spans="1:1" ht="15.75" customHeight="1">
      <c r="A617" s="13"/>
    </row>
    <row r="618" spans="1:1" ht="15.75" customHeight="1">
      <c r="A618" s="13"/>
    </row>
    <row r="619" spans="1:1" ht="15.75" customHeight="1">
      <c r="A619" s="13"/>
    </row>
    <row r="620" spans="1:1" ht="15.75" customHeight="1">
      <c r="A620" s="13"/>
    </row>
    <row r="621" spans="1:1" ht="15.75" customHeight="1">
      <c r="A621" s="13"/>
    </row>
    <row r="622" spans="1:1" ht="15.75" customHeight="1">
      <c r="A622" s="13"/>
    </row>
    <row r="623" spans="1:1" ht="15.75" customHeight="1">
      <c r="A623" s="13"/>
    </row>
    <row r="624" spans="1:1" ht="15.75" customHeight="1">
      <c r="A624" s="13"/>
    </row>
    <row r="625" spans="1:1" ht="15.75" customHeight="1">
      <c r="A625" s="13"/>
    </row>
    <row r="626" spans="1:1" ht="15.75" customHeight="1">
      <c r="A626" s="13"/>
    </row>
    <row r="627" spans="1:1" ht="15.75" customHeight="1">
      <c r="A627" s="13"/>
    </row>
    <row r="628" spans="1:1" ht="15.75" customHeight="1">
      <c r="A628" s="13"/>
    </row>
    <row r="629" spans="1:1" ht="15.75" customHeight="1">
      <c r="A629" s="13"/>
    </row>
    <row r="630" spans="1:1" ht="15.75" customHeight="1">
      <c r="A630" s="13"/>
    </row>
    <row r="631" spans="1:1" ht="15.75" customHeight="1">
      <c r="A631" s="13"/>
    </row>
    <row r="632" spans="1:1" ht="15.75" customHeight="1">
      <c r="A632" s="13"/>
    </row>
    <row r="633" spans="1:1" ht="15.75" customHeight="1">
      <c r="A633" s="13"/>
    </row>
    <row r="634" spans="1:1" ht="15.75" customHeight="1">
      <c r="A634" s="13"/>
    </row>
    <row r="635" spans="1:1" ht="15.75" customHeight="1">
      <c r="A635" s="13"/>
    </row>
    <row r="636" spans="1:1" ht="15.75" customHeight="1">
      <c r="A636" s="13"/>
    </row>
    <row r="637" spans="1:1" ht="15.75" customHeight="1">
      <c r="A637" s="13"/>
    </row>
    <row r="638" spans="1:1" ht="15.75" customHeight="1">
      <c r="A638" s="13"/>
    </row>
    <row r="639" spans="1:1" ht="15.75" customHeight="1">
      <c r="A639" s="13"/>
    </row>
    <row r="640" spans="1:1" ht="15.75" customHeight="1">
      <c r="A640" s="13"/>
    </row>
    <row r="641" spans="1:1" ht="15.75" customHeight="1">
      <c r="A641" s="13"/>
    </row>
    <row r="642" spans="1:1" ht="15.75" customHeight="1">
      <c r="A642" s="13"/>
    </row>
    <row r="643" spans="1:1" ht="15.75" customHeight="1">
      <c r="A643" s="13"/>
    </row>
    <row r="644" spans="1:1" ht="15.75" customHeight="1">
      <c r="A644" s="13"/>
    </row>
    <row r="645" spans="1:1" ht="15.75" customHeight="1">
      <c r="A645" s="13"/>
    </row>
    <row r="646" spans="1:1" ht="15.75" customHeight="1">
      <c r="A646" s="13"/>
    </row>
    <row r="647" spans="1:1" ht="15.75" customHeight="1">
      <c r="A647" s="13"/>
    </row>
    <row r="648" spans="1:1" ht="15.75" customHeight="1">
      <c r="A648" s="13"/>
    </row>
    <row r="649" spans="1:1" ht="15.75" customHeight="1">
      <c r="A649" s="13"/>
    </row>
    <row r="650" spans="1:1" ht="15.75" customHeight="1">
      <c r="A650" s="13"/>
    </row>
    <row r="651" spans="1:1" ht="15.75" customHeight="1">
      <c r="A651" s="13"/>
    </row>
    <row r="652" spans="1:1" ht="15.75" customHeight="1">
      <c r="A652" s="13"/>
    </row>
    <row r="653" spans="1:1" ht="15.75" customHeight="1">
      <c r="A653" s="13"/>
    </row>
    <row r="654" spans="1:1" ht="15.75" customHeight="1">
      <c r="A654" s="13"/>
    </row>
    <row r="655" spans="1:1" ht="15.75" customHeight="1">
      <c r="A655" s="13"/>
    </row>
    <row r="656" spans="1:1" ht="15.75" customHeight="1">
      <c r="A656" s="13"/>
    </row>
    <row r="657" spans="1:1" ht="15.75" customHeight="1">
      <c r="A657" s="13"/>
    </row>
    <row r="658" spans="1:1" ht="15.75" customHeight="1">
      <c r="A658" s="13"/>
    </row>
    <row r="659" spans="1:1" ht="15.75" customHeight="1">
      <c r="A659" s="13"/>
    </row>
    <row r="660" spans="1:1" ht="15.75" customHeight="1">
      <c r="A660" s="13"/>
    </row>
    <row r="661" spans="1:1" ht="15.75" customHeight="1">
      <c r="A661" s="13"/>
    </row>
    <row r="662" spans="1:1" ht="15.75" customHeight="1">
      <c r="A662" s="13"/>
    </row>
    <row r="663" spans="1:1" ht="15.75" customHeight="1">
      <c r="A663" s="13"/>
    </row>
    <row r="664" spans="1:1" ht="15.75" customHeight="1">
      <c r="A664" s="13"/>
    </row>
    <row r="665" spans="1:1" ht="15.75" customHeight="1">
      <c r="A665" s="13"/>
    </row>
    <row r="666" spans="1:1" ht="15.75" customHeight="1">
      <c r="A666" s="13"/>
    </row>
    <row r="667" spans="1:1" ht="15.75" customHeight="1">
      <c r="A667" s="13"/>
    </row>
    <row r="668" spans="1:1" ht="15.75" customHeight="1">
      <c r="A668" s="13"/>
    </row>
    <row r="669" spans="1:1" ht="15.75" customHeight="1">
      <c r="A669" s="13"/>
    </row>
    <row r="670" spans="1:1" ht="15.75" customHeight="1">
      <c r="A670" s="13"/>
    </row>
    <row r="671" spans="1:1" ht="15.75" customHeight="1">
      <c r="A671" s="13"/>
    </row>
    <row r="672" spans="1:1" ht="15.75" customHeight="1">
      <c r="A672" s="13"/>
    </row>
    <row r="673" spans="1:1" ht="15.75" customHeight="1">
      <c r="A673" s="13"/>
    </row>
    <row r="674" spans="1:1" ht="15.75" customHeight="1">
      <c r="A674" s="13"/>
    </row>
    <row r="675" spans="1:1" ht="15.75" customHeight="1">
      <c r="A675" s="13"/>
    </row>
    <row r="676" spans="1:1" ht="15.75" customHeight="1">
      <c r="A676" s="13"/>
    </row>
    <row r="677" spans="1:1" ht="15.75" customHeight="1">
      <c r="A677" s="13"/>
    </row>
    <row r="678" spans="1:1" ht="15.75" customHeight="1">
      <c r="A678" s="13"/>
    </row>
    <row r="679" spans="1:1" ht="15.75" customHeight="1">
      <c r="A679" s="13"/>
    </row>
    <row r="680" spans="1:1" ht="15.75" customHeight="1">
      <c r="A680" s="13"/>
    </row>
    <row r="681" spans="1:1" ht="15.75" customHeight="1">
      <c r="A681" s="13"/>
    </row>
    <row r="682" spans="1:1" ht="15.75" customHeight="1">
      <c r="A682" s="13"/>
    </row>
    <row r="683" spans="1:1" ht="15.75" customHeight="1">
      <c r="A683" s="13"/>
    </row>
    <row r="684" spans="1:1" ht="15.75" customHeight="1">
      <c r="A684" s="13"/>
    </row>
    <row r="685" spans="1:1" ht="15.75" customHeight="1">
      <c r="A685" s="13"/>
    </row>
    <row r="686" spans="1:1" ht="15.75" customHeight="1">
      <c r="A686" s="13"/>
    </row>
    <row r="687" spans="1:1" ht="15.75" customHeight="1">
      <c r="A687" s="13"/>
    </row>
    <row r="688" spans="1:1" ht="15.75" customHeight="1">
      <c r="A688" s="13"/>
    </row>
    <row r="689" spans="1:1" ht="15.75" customHeight="1">
      <c r="A689" s="13"/>
    </row>
    <row r="690" spans="1:1" ht="15.75" customHeight="1">
      <c r="A690" s="13"/>
    </row>
    <row r="691" spans="1:1" ht="15.75" customHeight="1">
      <c r="A691" s="13"/>
    </row>
    <row r="692" spans="1:1" ht="15.75" customHeight="1">
      <c r="A692" s="13"/>
    </row>
    <row r="693" spans="1:1" ht="15.75" customHeight="1">
      <c r="A693" s="13"/>
    </row>
    <row r="694" spans="1:1" ht="15.75" customHeight="1">
      <c r="A694" s="13"/>
    </row>
    <row r="695" spans="1:1" ht="15.75" customHeight="1">
      <c r="A695" s="13"/>
    </row>
    <row r="696" spans="1:1" ht="15.75" customHeight="1">
      <c r="A696" s="13"/>
    </row>
    <row r="697" spans="1:1" ht="15.75" customHeight="1">
      <c r="A697" s="13"/>
    </row>
    <row r="698" spans="1:1" ht="15.75" customHeight="1">
      <c r="A698" s="13"/>
    </row>
    <row r="699" spans="1:1" ht="15.75" customHeight="1">
      <c r="A699" s="13"/>
    </row>
    <row r="700" spans="1:1" ht="15.75" customHeight="1">
      <c r="A700" s="13"/>
    </row>
    <row r="701" spans="1:1" ht="15.75" customHeight="1">
      <c r="A701" s="13"/>
    </row>
    <row r="702" spans="1:1" ht="15.75" customHeight="1">
      <c r="A702" s="13"/>
    </row>
    <row r="703" spans="1:1" ht="15.75" customHeight="1">
      <c r="A703" s="13"/>
    </row>
    <row r="704" spans="1:1" ht="15.75" customHeight="1">
      <c r="A704" s="13"/>
    </row>
    <row r="705" spans="1:1" ht="15.75" customHeight="1">
      <c r="A705" s="13"/>
    </row>
    <row r="706" spans="1:1" ht="15.75" customHeight="1">
      <c r="A706" s="13"/>
    </row>
    <row r="707" spans="1:1" ht="15.75" customHeight="1">
      <c r="A707" s="13"/>
    </row>
    <row r="708" spans="1:1" ht="15.75" customHeight="1">
      <c r="A708" s="13"/>
    </row>
    <row r="709" spans="1:1" ht="15.75" customHeight="1">
      <c r="A709" s="13"/>
    </row>
    <row r="710" spans="1:1" ht="15.75" customHeight="1">
      <c r="A710" s="13"/>
    </row>
    <row r="711" spans="1:1" ht="15.75" customHeight="1">
      <c r="A711" s="13"/>
    </row>
    <row r="712" spans="1:1" ht="15.75" customHeight="1">
      <c r="A712" s="13"/>
    </row>
    <row r="713" spans="1:1" ht="15.75" customHeight="1">
      <c r="A713" s="13"/>
    </row>
    <row r="714" spans="1:1" ht="15.75" customHeight="1">
      <c r="A714" s="13"/>
    </row>
    <row r="715" spans="1:1" ht="15.75" customHeight="1">
      <c r="A715" s="13"/>
    </row>
    <row r="716" spans="1:1" ht="15.75" customHeight="1">
      <c r="A716" s="13"/>
    </row>
    <row r="717" spans="1:1" ht="15.75" customHeight="1">
      <c r="A717" s="13"/>
    </row>
    <row r="718" spans="1:1" ht="15.75" customHeight="1">
      <c r="A718" s="13"/>
    </row>
    <row r="719" spans="1:1" ht="15.75" customHeight="1">
      <c r="A719" s="13"/>
    </row>
    <row r="720" spans="1:1" ht="15.75" customHeight="1">
      <c r="A720" s="13"/>
    </row>
    <row r="721" spans="1:1" ht="15.75" customHeight="1">
      <c r="A721" s="13"/>
    </row>
    <row r="722" spans="1:1" ht="15.75" customHeight="1">
      <c r="A722" s="13"/>
    </row>
    <row r="723" spans="1:1" ht="15.75" customHeight="1">
      <c r="A723" s="13"/>
    </row>
    <row r="724" spans="1:1" ht="15.75" customHeight="1">
      <c r="A724" s="13"/>
    </row>
    <row r="725" spans="1:1" ht="15.75" customHeight="1">
      <c r="A725" s="13"/>
    </row>
    <row r="726" spans="1:1" ht="15.75" customHeight="1">
      <c r="A726" s="13"/>
    </row>
    <row r="727" spans="1:1" ht="15.75" customHeight="1">
      <c r="A727" s="13"/>
    </row>
    <row r="728" spans="1:1" ht="15.75" customHeight="1">
      <c r="A728" s="13"/>
    </row>
    <row r="729" spans="1:1" ht="15.75" customHeight="1">
      <c r="A729" s="13"/>
    </row>
    <row r="730" spans="1:1" ht="15.75" customHeight="1">
      <c r="A730" s="13"/>
    </row>
    <row r="731" spans="1:1" ht="15.75" customHeight="1">
      <c r="A731" s="13"/>
    </row>
    <row r="732" spans="1:1" ht="15.75" customHeight="1">
      <c r="A732" s="13"/>
    </row>
    <row r="733" spans="1:1" ht="15.75" customHeight="1">
      <c r="A733" s="13"/>
    </row>
    <row r="734" spans="1:1" ht="15.75" customHeight="1">
      <c r="A734" s="13"/>
    </row>
    <row r="735" spans="1:1" ht="15.75" customHeight="1">
      <c r="A735" s="13"/>
    </row>
    <row r="736" spans="1:1" ht="15.75" customHeight="1">
      <c r="A736" s="13"/>
    </row>
    <row r="737" spans="1:1" ht="15.75" customHeight="1">
      <c r="A737" s="13"/>
    </row>
    <row r="738" spans="1:1" ht="15.75" customHeight="1">
      <c r="A738" s="13"/>
    </row>
    <row r="739" spans="1:1" ht="15.75" customHeight="1">
      <c r="A739" s="13"/>
    </row>
    <row r="740" spans="1:1" ht="15.75" customHeight="1">
      <c r="A740" s="13"/>
    </row>
    <row r="741" spans="1:1" ht="15.75" customHeight="1">
      <c r="A741" s="13"/>
    </row>
    <row r="742" spans="1:1" ht="15.75" customHeight="1">
      <c r="A742" s="13"/>
    </row>
    <row r="743" spans="1:1" ht="15.75" customHeight="1">
      <c r="A743" s="13"/>
    </row>
    <row r="744" spans="1:1" ht="15.75" customHeight="1">
      <c r="A744" s="13"/>
    </row>
    <row r="745" spans="1:1" ht="15.75" customHeight="1">
      <c r="A745" s="13"/>
    </row>
    <row r="746" spans="1:1" ht="15.75" customHeight="1">
      <c r="A746" s="13"/>
    </row>
    <row r="747" spans="1:1" ht="15.75" customHeight="1">
      <c r="A747" s="13"/>
    </row>
    <row r="748" spans="1:1" ht="15.75" customHeight="1">
      <c r="A748" s="13"/>
    </row>
    <row r="749" spans="1:1" ht="15.75" customHeight="1">
      <c r="A749" s="13"/>
    </row>
    <row r="750" spans="1:1" ht="15.75" customHeight="1">
      <c r="A750" s="13"/>
    </row>
    <row r="751" spans="1:1" ht="15.75" customHeight="1">
      <c r="A751" s="13"/>
    </row>
    <row r="752" spans="1:1" ht="15.75" customHeight="1">
      <c r="A752" s="13"/>
    </row>
    <row r="753" spans="1:1" ht="15.75" customHeight="1">
      <c r="A753" s="13"/>
    </row>
    <row r="754" spans="1:1" ht="15.75" customHeight="1">
      <c r="A754" s="13"/>
    </row>
    <row r="755" spans="1:1" ht="15.75" customHeight="1">
      <c r="A755" s="13"/>
    </row>
    <row r="756" spans="1:1" ht="15.75" customHeight="1">
      <c r="A756" s="13"/>
    </row>
    <row r="757" spans="1:1" ht="15.75" customHeight="1">
      <c r="A757" s="13"/>
    </row>
    <row r="758" spans="1:1" ht="15.75" customHeight="1">
      <c r="A758" s="13"/>
    </row>
    <row r="759" spans="1:1" ht="15.75" customHeight="1">
      <c r="A759" s="13"/>
    </row>
    <row r="760" spans="1:1" ht="15.75" customHeight="1">
      <c r="A760" s="13"/>
    </row>
    <row r="761" spans="1:1" ht="15.75" customHeight="1">
      <c r="A761" s="13"/>
    </row>
    <row r="762" spans="1:1" ht="15.75" customHeight="1">
      <c r="A762" s="13"/>
    </row>
    <row r="763" spans="1:1" ht="15.75" customHeight="1">
      <c r="A763" s="13"/>
    </row>
    <row r="764" spans="1:1" ht="15.75" customHeight="1">
      <c r="A764" s="13"/>
    </row>
    <row r="765" spans="1:1" ht="15.75" customHeight="1">
      <c r="A765" s="13"/>
    </row>
    <row r="766" spans="1:1" ht="15.75" customHeight="1">
      <c r="A766" s="13"/>
    </row>
    <row r="767" spans="1:1" ht="15.75" customHeight="1">
      <c r="A767" s="13"/>
    </row>
    <row r="768" spans="1:1" ht="15.75" customHeight="1">
      <c r="A768" s="13"/>
    </row>
    <row r="769" spans="1:1" ht="15.75" customHeight="1">
      <c r="A769" s="13"/>
    </row>
    <row r="770" spans="1:1" ht="15.75" customHeight="1">
      <c r="A770" s="13"/>
    </row>
    <row r="771" spans="1:1" ht="15.75" customHeight="1">
      <c r="A771" s="13"/>
    </row>
    <row r="772" spans="1:1" ht="15.75" customHeight="1">
      <c r="A772" s="13"/>
    </row>
    <row r="773" spans="1:1" ht="15.75" customHeight="1">
      <c r="A773" s="13"/>
    </row>
    <row r="774" spans="1:1" ht="15.75" customHeight="1">
      <c r="A774" s="13"/>
    </row>
    <row r="775" spans="1:1" ht="15.75" customHeight="1">
      <c r="A775" s="13"/>
    </row>
    <row r="776" spans="1:1" ht="15.75" customHeight="1">
      <c r="A776" s="13"/>
    </row>
    <row r="777" spans="1:1" ht="15.75" customHeight="1">
      <c r="A777" s="13"/>
    </row>
    <row r="778" spans="1:1" ht="15.75" customHeight="1">
      <c r="A778" s="13"/>
    </row>
    <row r="779" spans="1:1" ht="15.75" customHeight="1">
      <c r="A779" s="13"/>
    </row>
    <row r="780" spans="1:1" ht="15.75" customHeight="1">
      <c r="A780" s="13"/>
    </row>
    <row r="781" spans="1:1" ht="15.75" customHeight="1">
      <c r="A781" s="13"/>
    </row>
    <row r="782" spans="1:1" ht="15.75" customHeight="1">
      <c r="A782" s="13"/>
    </row>
    <row r="783" spans="1:1" ht="15.75" customHeight="1">
      <c r="A783" s="13"/>
    </row>
    <row r="784" spans="1:1" ht="15.75" customHeight="1">
      <c r="A784" s="13"/>
    </row>
    <row r="785" spans="1:1" ht="15.75" customHeight="1">
      <c r="A785" s="13"/>
    </row>
    <row r="786" spans="1:1" ht="15.75" customHeight="1">
      <c r="A786" s="13"/>
    </row>
    <row r="787" spans="1:1" ht="15.75" customHeight="1">
      <c r="A787" s="13"/>
    </row>
    <row r="788" spans="1:1" ht="15.75" customHeight="1">
      <c r="A788" s="13"/>
    </row>
    <row r="789" spans="1:1" ht="15.75" customHeight="1">
      <c r="A789" s="13"/>
    </row>
    <row r="790" spans="1:1" ht="15.75" customHeight="1">
      <c r="A790" s="13"/>
    </row>
    <row r="791" spans="1:1" ht="15.75" customHeight="1">
      <c r="A791" s="13"/>
    </row>
    <row r="792" spans="1:1" ht="15.75" customHeight="1">
      <c r="A792" s="13"/>
    </row>
    <row r="793" spans="1:1" ht="15.75" customHeight="1">
      <c r="A793" s="13"/>
    </row>
    <row r="794" spans="1:1" ht="15.75" customHeight="1">
      <c r="A794" s="13"/>
    </row>
    <row r="795" spans="1:1" ht="15.75" customHeight="1">
      <c r="A795" s="13"/>
    </row>
    <row r="796" spans="1:1" ht="15.75" customHeight="1">
      <c r="A796" s="13"/>
    </row>
    <row r="797" spans="1:1" ht="15.75" customHeight="1">
      <c r="A797" s="13"/>
    </row>
    <row r="798" spans="1:1" ht="15.75" customHeight="1">
      <c r="A798" s="13"/>
    </row>
    <row r="799" spans="1:1" ht="15.75" customHeight="1">
      <c r="A799" s="13"/>
    </row>
    <row r="800" spans="1:1" ht="15.75" customHeight="1">
      <c r="A800" s="13"/>
    </row>
    <row r="801" spans="1:1" ht="15.75" customHeight="1">
      <c r="A801" s="13"/>
    </row>
    <row r="802" spans="1:1" ht="15.75" customHeight="1">
      <c r="A802" s="13"/>
    </row>
    <row r="803" spans="1:1" ht="15.75" customHeight="1">
      <c r="A803" s="13"/>
    </row>
    <row r="804" spans="1:1" ht="15.75" customHeight="1">
      <c r="A804" s="13"/>
    </row>
    <row r="805" spans="1:1" ht="15.75" customHeight="1">
      <c r="A805" s="13"/>
    </row>
    <row r="806" spans="1:1" ht="15.75" customHeight="1">
      <c r="A806" s="13"/>
    </row>
    <row r="807" spans="1:1" ht="15.75" customHeight="1">
      <c r="A807" s="13"/>
    </row>
    <row r="808" spans="1:1" ht="15.75" customHeight="1">
      <c r="A808" s="13"/>
    </row>
    <row r="809" spans="1:1" ht="15.75" customHeight="1">
      <c r="A809" s="13"/>
    </row>
    <row r="810" spans="1:1" ht="15.75" customHeight="1">
      <c r="A810" s="13"/>
    </row>
    <row r="811" spans="1:1" ht="15.75" customHeight="1">
      <c r="A811" s="13"/>
    </row>
    <row r="812" spans="1:1" ht="15.75" customHeight="1">
      <c r="A812" s="13"/>
    </row>
    <row r="813" spans="1:1" ht="15.75" customHeight="1">
      <c r="A813" s="13"/>
    </row>
    <row r="814" spans="1:1" ht="15.75" customHeight="1">
      <c r="A814" s="13"/>
    </row>
    <row r="815" spans="1:1" ht="15.75" customHeight="1">
      <c r="A815" s="13"/>
    </row>
    <row r="816" spans="1:1" ht="15.75" customHeight="1">
      <c r="A816" s="13"/>
    </row>
    <row r="817" spans="1:1" ht="15.75" customHeight="1">
      <c r="A817" s="13"/>
    </row>
    <row r="818" spans="1:1" ht="15.75" customHeight="1">
      <c r="A818" s="13"/>
    </row>
    <row r="819" spans="1:1" ht="15.75" customHeight="1">
      <c r="A819" s="13"/>
    </row>
    <row r="820" spans="1:1" ht="15.75" customHeight="1">
      <c r="A820" s="13"/>
    </row>
    <row r="821" spans="1:1" ht="15.75" customHeight="1">
      <c r="A821" s="13"/>
    </row>
    <row r="822" spans="1:1" ht="15.75" customHeight="1">
      <c r="A822" s="13"/>
    </row>
    <row r="823" spans="1:1" ht="15.75" customHeight="1">
      <c r="A823" s="13"/>
    </row>
    <row r="824" spans="1:1" ht="15.75" customHeight="1">
      <c r="A824" s="13"/>
    </row>
    <row r="825" spans="1:1" ht="15.75" customHeight="1">
      <c r="A825" s="13"/>
    </row>
    <row r="826" spans="1:1" ht="15.75" customHeight="1">
      <c r="A826" s="13"/>
    </row>
    <row r="827" spans="1:1" ht="15.75" customHeight="1">
      <c r="A827" s="13"/>
    </row>
    <row r="828" spans="1:1" ht="15.75" customHeight="1">
      <c r="A828" s="13"/>
    </row>
    <row r="829" spans="1:1" ht="15.75" customHeight="1">
      <c r="A829" s="13"/>
    </row>
    <row r="830" spans="1:1" ht="15.75" customHeight="1">
      <c r="A830" s="13"/>
    </row>
    <row r="831" spans="1:1" ht="15.75" customHeight="1">
      <c r="A831" s="13"/>
    </row>
    <row r="832" spans="1:1" ht="15.75" customHeight="1">
      <c r="A832" s="13"/>
    </row>
    <row r="833" spans="1:1" ht="15.75" customHeight="1">
      <c r="A833" s="13"/>
    </row>
    <row r="834" spans="1:1" ht="15.75" customHeight="1">
      <c r="A834" s="13"/>
    </row>
    <row r="835" spans="1:1" ht="15.75" customHeight="1">
      <c r="A835" s="13"/>
    </row>
    <row r="836" spans="1:1" ht="15.75" customHeight="1">
      <c r="A836" s="13"/>
    </row>
    <row r="837" spans="1:1" ht="15.75" customHeight="1">
      <c r="A837" s="13"/>
    </row>
    <row r="838" spans="1:1" ht="15.75" customHeight="1">
      <c r="A838" s="13"/>
    </row>
    <row r="839" spans="1:1" ht="15.75" customHeight="1">
      <c r="A839" s="13"/>
    </row>
    <row r="840" spans="1:1" ht="15.75" customHeight="1">
      <c r="A840" s="13"/>
    </row>
    <row r="841" spans="1:1" ht="15.75" customHeight="1">
      <c r="A841" s="13"/>
    </row>
    <row r="842" spans="1:1" ht="15.75" customHeight="1">
      <c r="A842" s="13"/>
    </row>
    <row r="843" spans="1:1" ht="15.75" customHeight="1">
      <c r="A843" s="13"/>
    </row>
    <row r="844" spans="1:1" ht="15.75" customHeight="1">
      <c r="A844" s="13"/>
    </row>
    <row r="845" spans="1:1" ht="15.75" customHeight="1">
      <c r="A845" s="13"/>
    </row>
    <row r="846" spans="1:1" ht="15.75" customHeight="1">
      <c r="A846" s="13"/>
    </row>
    <row r="847" spans="1:1" ht="15.75" customHeight="1">
      <c r="A847" s="13"/>
    </row>
    <row r="848" spans="1:1" ht="15.75" customHeight="1">
      <c r="A848" s="13"/>
    </row>
    <row r="849" spans="1:1" ht="15.75" customHeight="1">
      <c r="A849" s="13"/>
    </row>
    <row r="850" spans="1:1" ht="15.75" customHeight="1">
      <c r="A850" s="13"/>
    </row>
    <row r="851" spans="1:1" ht="15.75" customHeight="1">
      <c r="A851" s="13"/>
    </row>
    <row r="852" spans="1:1" ht="15.75" customHeight="1">
      <c r="A852" s="13"/>
    </row>
    <row r="853" spans="1:1" ht="15.75" customHeight="1">
      <c r="A853" s="13"/>
    </row>
    <row r="854" spans="1:1" ht="15.75" customHeight="1">
      <c r="A854" s="13"/>
    </row>
    <row r="855" spans="1:1" ht="15.75" customHeight="1">
      <c r="A855" s="13"/>
    </row>
    <row r="856" spans="1:1" ht="15.75" customHeight="1">
      <c r="A856" s="13"/>
    </row>
    <row r="857" spans="1:1" ht="15.75" customHeight="1">
      <c r="A857" s="13"/>
    </row>
    <row r="858" spans="1:1" ht="15.75" customHeight="1">
      <c r="A858" s="13"/>
    </row>
    <row r="859" spans="1:1" ht="15.75" customHeight="1">
      <c r="A859" s="13"/>
    </row>
    <row r="860" spans="1:1" ht="15.75" customHeight="1">
      <c r="A860" s="13"/>
    </row>
    <row r="861" spans="1:1" ht="15.75" customHeight="1">
      <c r="A861" s="13"/>
    </row>
    <row r="862" spans="1:1" ht="15.75" customHeight="1">
      <c r="A862" s="13"/>
    </row>
    <row r="863" spans="1:1" ht="15.75" customHeight="1">
      <c r="A863" s="13"/>
    </row>
    <row r="864" spans="1:1" ht="15.75" customHeight="1">
      <c r="A864" s="13"/>
    </row>
    <row r="865" spans="1:1" ht="15.75" customHeight="1">
      <c r="A865" s="13"/>
    </row>
    <row r="866" spans="1:1" ht="15.75" customHeight="1">
      <c r="A866" s="13"/>
    </row>
    <row r="867" spans="1:1" ht="15.75" customHeight="1">
      <c r="A867" s="13"/>
    </row>
    <row r="868" spans="1:1" ht="15.75" customHeight="1">
      <c r="A868" s="13"/>
    </row>
    <row r="869" spans="1:1" ht="15.75" customHeight="1">
      <c r="A869" s="13"/>
    </row>
    <row r="870" spans="1:1" ht="15.75" customHeight="1">
      <c r="A870" s="13"/>
    </row>
    <row r="871" spans="1:1" ht="15.75" customHeight="1">
      <c r="A871" s="13"/>
    </row>
    <row r="872" spans="1:1" ht="15.75" customHeight="1">
      <c r="A872" s="13"/>
    </row>
    <row r="873" spans="1:1" ht="15.75" customHeight="1">
      <c r="A873" s="13"/>
    </row>
    <row r="874" spans="1:1" ht="15.75" customHeight="1">
      <c r="A874" s="13"/>
    </row>
    <row r="875" spans="1:1" ht="15.75" customHeight="1">
      <c r="A875" s="13"/>
    </row>
    <row r="876" spans="1:1" ht="15.75" customHeight="1">
      <c r="A876" s="13"/>
    </row>
    <row r="877" spans="1:1" ht="15.75" customHeight="1">
      <c r="A877" s="13"/>
    </row>
    <row r="878" spans="1:1" ht="15.75" customHeight="1">
      <c r="A878" s="13"/>
    </row>
    <row r="879" spans="1:1" ht="15.75" customHeight="1">
      <c r="A879" s="13"/>
    </row>
    <row r="880" spans="1:1" ht="15.75" customHeight="1">
      <c r="A880" s="13"/>
    </row>
    <row r="881" spans="1:1" ht="15.75" customHeight="1">
      <c r="A881" s="13"/>
    </row>
    <row r="882" spans="1:1" ht="15.75" customHeight="1">
      <c r="A882" s="13"/>
    </row>
    <row r="883" spans="1:1" ht="15.75" customHeight="1">
      <c r="A883" s="13"/>
    </row>
    <row r="884" spans="1:1" ht="15.75" customHeight="1">
      <c r="A884" s="13"/>
    </row>
    <row r="885" spans="1:1" ht="15.75" customHeight="1">
      <c r="A885" s="13"/>
    </row>
    <row r="886" spans="1:1" ht="15.75" customHeight="1">
      <c r="A886" s="13"/>
    </row>
    <row r="887" spans="1:1" ht="15.75" customHeight="1">
      <c r="A887" s="13"/>
    </row>
    <row r="888" spans="1:1" ht="15.75" customHeight="1">
      <c r="A888" s="13"/>
    </row>
    <row r="889" spans="1:1" ht="15.75" customHeight="1">
      <c r="A889" s="13"/>
    </row>
    <row r="890" spans="1:1" ht="15.75" customHeight="1">
      <c r="A890" s="13"/>
    </row>
    <row r="891" spans="1:1" ht="15.75" customHeight="1">
      <c r="A891" s="13"/>
    </row>
    <row r="892" spans="1:1" ht="15.75" customHeight="1">
      <c r="A892" s="13"/>
    </row>
    <row r="893" spans="1:1" ht="15.75" customHeight="1">
      <c r="A893" s="13"/>
    </row>
    <row r="894" spans="1:1" ht="15.75" customHeight="1">
      <c r="A894" s="13"/>
    </row>
    <row r="895" spans="1:1" ht="15.75" customHeight="1">
      <c r="A895" s="13"/>
    </row>
    <row r="896" spans="1:1" ht="15.75" customHeight="1">
      <c r="A896" s="13"/>
    </row>
    <row r="897" spans="1:1" ht="15.75" customHeight="1">
      <c r="A897" s="13"/>
    </row>
    <row r="898" spans="1:1" ht="15.75" customHeight="1">
      <c r="A898" s="13"/>
    </row>
    <row r="899" spans="1:1" ht="15.75" customHeight="1">
      <c r="A899" s="13"/>
    </row>
    <row r="900" spans="1:1" ht="15.75" customHeight="1">
      <c r="A900" s="13"/>
    </row>
    <row r="901" spans="1:1" ht="15.75" customHeight="1">
      <c r="A901" s="13"/>
    </row>
    <row r="902" spans="1:1" ht="15.75" customHeight="1">
      <c r="A902" s="13"/>
    </row>
    <row r="903" spans="1:1" ht="15.75" customHeight="1">
      <c r="A903" s="13"/>
    </row>
    <row r="904" spans="1:1" ht="15.75" customHeight="1">
      <c r="A904" s="13"/>
    </row>
    <row r="905" spans="1:1" ht="15.75" customHeight="1">
      <c r="A905" s="13"/>
    </row>
    <row r="906" spans="1:1" ht="15.75" customHeight="1">
      <c r="A906" s="13"/>
    </row>
    <row r="907" spans="1:1" ht="15.75" customHeight="1">
      <c r="A907" s="13"/>
    </row>
    <row r="908" spans="1:1" ht="15.75" customHeight="1">
      <c r="A908" s="13"/>
    </row>
    <row r="909" spans="1:1" ht="15.75" customHeight="1">
      <c r="A909" s="13"/>
    </row>
    <row r="910" spans="1:1" ht="15.75" customHeight="1">
      <c r="A910" s="13"/>
    </row>
    <row r="911" spans="1:1" ht="15.75" customHeight="1">
      <c r="A911" s="13"/>
    </row>
    <row r="912" spans="1:1" ht="15.75" customHeight="1">
      <c r="A912" s="13"/>
    </row>
    <row r="913" spans="1:1" ht="15.75" customHeight="1">
      <c r="A913" s="13"/>
    </row>
    <row r="914" spans="1:1" ht="15.75" customHeight="1">
      <c r="A914" s="13"/>
    </row>
    <row r="915" spans="1:1" ht="15.75" customHeight="1">
      <c r="A915" s="13"/>
    </row>
    <row r="916" spans="1:1" ht="15.75" customHeight="1">
      <c r="A916" s="13"/>
    </row>
    <row r="917" spans="1:1" ht="15.75" customHeight="1">
      <c r="A917" s="13"/>
    </row>
    <row r="918" spans="1:1" ht="15.75" customHeight="1">
      <c r="A918" s="13"/>
    </row>
    <row r="919" spans="1:1" ht="15.75" customHeight="1">
      <c r="A919" s="13"/>
    </row>
    <row r="920" spans="1:1" ht="15.75" customHeight="1">
      <c r="A920" s="13"/>
    </row>
    <row r="921" spans="1:1" ht="15.75" customHeight="1">
      <c r="A921" s="13"/>
    </row>
    <row r="922" spans="1:1" ht="15.75" customHeight="1">
      <c r="A922" s="13"/>
    </row>
    <row r="923" spans="1:1" ht="15.75" customHeight="1">
      <c r="A923" s="13"/>
    </row>
    <row r="924" spans="1:1" ht="15.75" customHeight="1">
      <c r="A924" s="13"/>
    </row>
    <row r="925" spans="1:1" ht="15.75" customHeight="1">
      <c r="A925" s="13"/>
    </row>
    <row r="926" spans="1:1" ht="15.75" customHeight="1">
      <c r="A926" s="13"/>
    </row>
    <row r="927" spans="1:1" ht="15.75" customHeight="1">
      <c r="A927" s="13"/>
    </row>
    <row r="928" spans="1:1" ht="15.75" customHeight="1">
      <c r="A928" s="13"/>
    </row>
    <row r="929" spans="1:1" ht="15.75" customHeight="1">
      <c r="A929" s="13"/>
    </row>
    <row r="930" spans="1:1" ht="15.75" customHeight="1">
      <c r="A930" s="13"/>
    </row>
    <row r="931" spans="1:1" ht="15.75" customHeight="1">
      <c r="A931" s="13"/>
    </row>
    <row r="932" spans="1:1" ht="15.75" customHeight="1">
      <c r="A932" s="13"/>
    </row>
    <row r="933" spans="1:1" ht="15.75" customHeight="1">
      <c r="A933" s="13"/>
    </row>
    <row r="934" spans="1:1" ht="15.75" customHeight="1">
      <c r="A934" s="13"/>
    </row>
    <row r="935" spans="1:1" ht="15.75" customHeight="1">
      <c r="A935" s="13"/>
    </row>
    <row r="936" spans="1:1" ht="15.75" customHeight="1">
      <c r="A936" s="13"/>
    </row>
    <row r="937" spans="1:1" ht="15.75" customHeight="1">
      <c r="A937" s="13"/>
    </row>
    <row r="938" spans="1:1" ht="15.75" customHeight="1">
      <c r="A938" s="13"/>
    </row>
    <row r="939" spans="1:1" ht="15.75" customHeight="1">
      <c r="A939" s="13"/>
    </row>
    <row r="940" spans="1:1" ht="15.75" customHeight="1">
      <c r="A940" s="13"/>
    </row>
    <row r="941" spans="1:1" ht="15.75" customHeight="1">
      <c r="A941" s="13"/>
    </row>
    <row r="942" spans="1:1" ht="15.75" customHeight="1">
      <c r="A942" s="13"/>
    </row>
    <row r="943" spans="1:1" ht="15.75" customHeight="1">
      <c r="A943" s="13"/>
    </row>
    <row r="944" spans="1:1" ht="15.75" customHeight="1">
      <c r="A944" s="13"/>
    </row>
    <row r="945" spans="1:1" ht="15.75" customHeight="1">
      <c r="A945" s="13"/>
    </row>
    <row r="946" spans="1:1" ht="15.75" customHeight="1">
      <c r="A946" s="13"/>
    </row>
    <row r="947" spans="1:1" ht="15.75" customHeight="1">
      <c r="A947" s="13"/>
    </row>
    <row r="948" spans="1:1" ht="15.75" customHeight="1">
      <c r="A948" s="13"/>
    </row>
    <row r="949" spans="1:1" ht="15.75" customHeight="1">
      <c r="A949" s="13"/>
    </row>
    <row r="950" spans="1:1" ht="15.75" customHeight="1">
      <c r="A950" s="13"/>
    </row>
    <row r="951" spans="1:1" ht="15.75" customHeight="1">
      <c r="A951" s="13"/>
    </row>
    <row r="952" spans="1:1" ht="15.75" customHeight="1">
      <c r="A952" s="13"/>
    </row>
    <row r="953" spans="1:1" ht="15.75" customHeight="1">
      <c r="A953" s="13"/>
    </row>
    <row r="954" spans="1:1" ht="15.75" customHeight="1">
      <c r="A954" s="13"/>
    </row>
    <row r="955" spans="1:1" ht="15.75" customHeight="1">
      <c r="A955" s="13"/>
    </row>
    <row r="956" spans="1:1" ht="15.75" customHeight="1">
      <c r="A956" s="13"/>
    </row>
    <row r="957" spans="1:1" ht="15.75" customHeight="1">
      <c r="A957" s="13"/>
    </row>
    <row r="958" spans="1:1" ht="15.75" customHeight="1">
      <c r="A958" s="13"/>
    </row>
    <row r="959" spans="1:1" ht="15.75" customHeight="1">
      <c r="A959" s="13"/>
    </row>
    <row r="960" spans="1:1" ht="15.75" customHeight="1">
      <c r="A960" s="13"/>
    </row>
    <row r="961" spans="1:1" ht="15.75" customHeight="1">
      <c r="A961" s="13"/>
    </row>
    <row r="962" spans="1:1" ht="15.75" customHeight="1">
      <c r="A962" s="13"/>
    </row>
    <row r="963" spans="1:1" ht="15.75" customHeight="1">
      <c r="A963" s="13"/>
    </row>
    <row r="964" spans="1:1" ht="15.75" customHeight="1">
      <c r="A964" s="13"/>
    </row>
    <row r="965" spans="1:1" ht="15.75" customHeight="1">
      <c r="A965" s="13"/>
    </row>
    <row r="966" spans="1:1" ht="15.75" customHeight="1">
      <c r="A966" s="13"/>
    </row>
    <row r="967" spans="1:1" ht="15.75" customHeight="1">
      <c r="A967" s="13"/>
    </row>
    <row r="968" spans="1:1" ht="15.75" customHeight="1">
      <c r="A968" s="13"/>
    </row>
    <row r="969" spans="1:1" ht="15.75" customHeight="1">
      <c r="A969" s="13"/>
    </row>
    <row r="970" spans="1:1" ht="15.75" customHeight="1">
      <c r="A970" s="13"/>
    </row>
    <row r="971" spans="1:1" ht="15.75" customHeight="1">
      <c r="A971" s="13"/>
    </row>
    <row r="972" spans="1:1" ht="15.75" customHeight="1">
      <c r="A972" s="13"/>
    </row>
    <row r="973" spans="1:1" ht="15.75" customHeight="1">
      <c r="A973" s="13"/>
    </row>
    <row r="974" spans="1:1" ht="15.75" customHeight="1">
      <c r="A974" s="13"/>
    </row>
    <row r="975" spans="1:1" ht="15.75" customHeight="1">
      <c r="A975" s="13"/>
    </row>
    <row r="976" spans="1:1" ht="15.75" customHeight="1">
      <c r="A976" s="13"/>
    </row>
    <row r="977" spans="1:1" ht="15.75" customHeight="1">
      <c r="A977" s="13"/>
    </row>
    <row r="978" spans="1:1" ht="15.75" customHeight="1">
      <c r="A978" s="13"/>
    </row>
    <row r="979" spans="1:1" ht="15.75" customHeight="1">
      <c r="A979" s="13"/>
    </row>
    <row r="980" spans="1:1" ht="15.75" customHeight="1">
      <c r="A980" s="13"/>
    </row>
    <row r="981" spans="1:1" ht="15.75" customHeight="1">
      <c r="A981" s="13"/>
    </row>
    <row r="982" spans="1:1" ht="15.75" customHeight="1">
      <c r="A982" s="13"/>
    </row>
    <row r="983" spans="1:1" ht="15.75" customHeight="1">
      <c r="A983" s="13"/>
    </row>
    <row r="984" spans="1:1" ht="15.75" customHeight="1">
      <c r="A984" s="13"/>
    </row>
    <row r="985" spans="1:1" ht="15.75" customHeight="1">
      <c r="A985" s="13"/>
    </row>
    <row r="986" spans="1:1" ht="15.75" customHeight="1">
      <c r="A986" s="13"/>
    </row>
    <row r="987" spans="1:1" ht="15.75" customHeight="1">
      <c r="A987" s="13"/>
    </row>
    <row r="988" spans="1:1" ht="15.75" customHeight="1">
      <c r="A988" s="13"/>
    </row>
    <row r="989" spans="1:1" ht="15.75" customHeight="1">
      <c r="A989" s="13"/>
    </row>
    <row r="990" spans="1:1" ht="15.75" customHeight="1">
      <c r="A990" s="13"/>
    </row>
    <row r="991" spans="1:1" ht="15.75" customHeight="1">
      <c r="A991" s="13"/>
    </row>
    <row r="992" spans="1:1" ht="15.75" customHeight="1">
      <c r="A992" s="13"/>
    </row>
    <row r="993" spans="1:1" ht="15.75" customHeight="1">
      <c r="A993" s="13"/>
    </row>
    <row r="994" spans="1:1" ht="15.75" customHeight="1">
      <c r="A994" s="13"/>
    </row>
    <row r="995" spans="1:1" ht="15.75" customHeight="1">
      <c r="A995" s="13"/>
    </row>
    <row r="996" spans="1:1" ht="15.75" customHeight="1">
      <c r="A996" s="13"/>
    </row>
    <row r="997" spans="1:1" ht="15.75" customHeight="1">
      <c r="A997" s="13"/>
    </row>
    <row r="998" spans="1:1" ht="15.75" customHeight="1">
      <c r="A998" s="13"/>
    </row>
    <row r="999" spans="1:1" ht="15.75" customHeight="1">
      <c r="A999" s="13"/>
    </row>
    <row r="1000" spans="1:1" ht="15.75" customHeight="1">
      <c r="A1000" s="13"/>
    </row>
    <row r="1001" spans="1:1" ht="15.75" customHeight="1">
      <c r="A1001" s="13"/>
    </row>
    <row r="1002" spans="1:1" ht="15.75" customHeight="1">
      <c r="A1002" s="13"/>
    </row>
    <row r="1003" spans="1:1" ht="15.75" customHeight="1">
      <c r="A1003" s="13"/>
    </row>
    <row r="1004" spans="1:1" ht="15.75" customHeight="1">
      <c r="A1004" s="13"/>
    </row>
    <row r="1005" spans="1:1" ht="15.75" customHeight="1">
      <c r="A1005" s="13"/>
    </row>
    <row r="1006" spans="1:1" ht="15.75" customHeight="1">
      <c r="A1006" s="13"/>
    </row>
    <row r="1007" spans="1:1" ht="15.75" customHeight="1">
      <c r="A1007" s="13"/>
    </row>
  </sheetData>
  <mergeCells count="7">
    <mergeCell ref="A1:I1"/>
    <mergeCell ref="A9:A10"/>
    <mergeCell ref="B9:B10"/>
    <mergeCell ref="C9:C10"/>
    <mergeCell ref="D9:D10"/>
    <mergeCell ref="E9:H9"/>
    <mergeCell ref="I9:I10"/>
  </mergeCells>
  <pageMargins left="0.25" right="0.19" top="0.75" bottom="0.75" header="0.18" footer="0"/>
  <pageSetup paperSize="1000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PROTA REVISI</vt:lpstr>
      <vt:lpstr>Kendali TB-DB</vt:lpstr>
      <vt:lpstr>Kendali APK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abang muslim</dc:creator>
  <cp:lastModifiedBy>abang muslim</cp:lastModifiedBy>
  <cp:lastPrinted>2026-10-05T17:05:43Z</cp:lastPrinted>
  <dcterms:created xsi:type="dcterms:W3CDTF">2025-08-13T03:57:14Z</dcterms:created>
  <dcterms:modified xsi:type="dcterms:W3CDTF">2026-10-05T17:06:05Z</dcterms:modified>
</cp:coreProperties>
</file>